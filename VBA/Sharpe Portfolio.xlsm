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"/>
    </mc:Choice>
  </mc:AlternateContent>
  <bookViews>
    <workbookView xWindow="1110" yWindow="30" windowWidth="27960" windowHeight="11070" activeTab="1"/>
  </bookViews>
  <sheets>
    <sheet name="Securities" sheetId="2" r:id="rId1"/>
    <sheet name="Sharpe" sheetId="1" r:id="rId2"/>
    <sheet name="Calculations" sheetId="3" r:id="rId3"/>
  </sheets>
  <definedNames>
    <definedName name="PortList">#REF!</definedName>
    <definedName name="solver_adj" localSheetId="2" hidden="1">Calculations!$B$4:$K$4</definedName>
    <definedName name="solver_adj" localSheetId="1" hidden="1">Sharpe!$D$13:$D$22</definedName>
    <definedName name="solver_cvg" localSheetId="1" hidden="1">0.0001</definedName>
    <definedName name="solver_drv" localSheetId="1" hidden="1">2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Sharpe!$H$13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1" hidden="1">2147483647</definedName>
    <definedName name="solver_num" localSheetId="2" hidden="1">0</definedName>
    <definedName name="solver_num" localSheetId="1" hidden="1">1</definedName>
    <definedName name="solver_nwt" localSheetId="1" hidden="1">1</definedName>
    <definedName name="solver_opt" localSheetId="2" hidden="1">Calculations!$B$4</definedName>
    <definedName name="solver_opt" localSheetId="1" hidden="1">Sharpe!$G$13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hs1" localSheetId="1" hidden="1">1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2" hidden="1">1</definedName>
    <definedName name="solver_typ" localSheetId="1" hidden="1">1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H13" i="1" l="1"/>
  <c r="F13" i="1" a="1"/>
  <c r="F13" i="1" s="1"/>
  <c r="E13" i="1" a="1"/>
  <c r="E13" i="1" s="1"/>
  <c r="G13" i="1" l="1"/>
</calcChain>
</file>

<file path=xl/sharedStrings.xml><?xml version="1.0" encoding="utf-8"?>
<sst xmlns="http://schemas.openxmlformats.org/spreadsheetml/2006/main" count="43" uniqueCount="22">
  <si>
    <t>Date</t>
  </si>
  <si>
    <t>SCHE</t>
  </si>
  <si>
    <t>VNQ</t>
  </si>
  <si>
    <t>GLD</t>
  </si>
  <si>
    <t>AMLP</t>
  </si>
  <si>
    <t>VBR</t>
  </si>
  <si>
    <t>IJK</t>
  </si>
  <si>
    <t>SPY</t>
  </si>
  <si>
    <t>QQQ</t>
  </si>
  <si>
    <t>AGG</t>
  </si>
  <si>
    <t>FXY</t>
  </si>
  <si>
    <t>Risk Free</t>
  </si>
  <si>
    <t>Weights</t>
  </si>
  <si>
    <t>Ticker</t>
  </si>
  <si>
    <t>E[r]</t>
  </si>
  <si>
    <t>StdDev</t>
  </si>
  <si>
    <t>Port E[r]</t>
  </si>
  <si>
    <t>Port Std Dev</t>
  </si>
  <si>
    <t>Sharpe</t>
  </si>
  <si>
    <t>Weight Sums</t>
  </si>
  <si>
    <t>Inputs</t>
  </si>
  <si>
    <t>Portfolio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</si>
</sst>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0" applyNumberFormat="1"/>
    <xf numFmtId="0" fontId="1" fillId="0" borderId="1" xfId="0" applyFont="1" applyBorder="1"/>
    <xf numFmtId="0" fontId="1" fillId="0" borderId="0" xfId="0" applyFont="1"/>
    <xf numFmtId="10" fontId="0" fillId="2" borderId="2" xfId="0" applyNumberFormat="1" applyFill="1" applyBorder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Asset Weights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Weights</c:v>
          </c:tx>
          <c:invertIfNegative val="0"/>
          <c:cat>
            <c:strLit>
              <c:ptCount val="10"/>
              <c:pt idx="0">
                <c:v>SCHE</c:v>
              </c:pt>
              <c:pt idx="1">
                <c:v>VNQ</c:v>
              </c:pt>
              <c:pt idx="2">
                <c:v>GLD</c:v>
              </c:pt>
              <c:pt idx="3">
                <c:v>AMLP</c:v>
              </c:pt>
              <c:pt idx="4">
                <c:v>VBR</c:v>
              </c:pt>
              <c:pt idx="5">
                <c:v>IJK</c:v>
              </c:pt>
              <c:pt idx="6">
                <c:v>SPY</c:v>
              </c:pt>
              <c:pt idx="7">
                <c:v>QQQ</c:v>
              </c:pt>
              <c:pt idx="8">
                <c:v>AGG</c:v>
              </c:pt>
              <c:pt idx="9">
                <c:v>FXY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7.3252896571039464E-2</c:v>
              </c:pt>
              <c:pt idx="7">
                <c:v>9.5565792905742297E-2</c:v>
              </c:pt>
              <c:pt idx="8">
                <c:v>0.83118131052321842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99F-43C1-9050-3F1069C3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431720"/>
        <c:axId val="455435000"/>
      </c:barChart>
      <c:catAx>
        <c:axId val="45543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Ticker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5435000"/>
        <c:crosses val="autoZero"/>
        <c:auto val="1"/>
        <c:lblAlgn val="ctr"/>
        <c:lblOffset val="100"/>
        <c:noMultiLvlLbl val="0"/>
      </c:catAx>
      <c:valAx>
        <c:axId val="455435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Weight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5431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38100</xdr:rowOff>
        </xdr:from>
        <xdr:to>
          <xdr:col>4</xdr:col>
          <xdr:colOff>542925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Sharpe Weights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508000</xdr:colOff>
      <xdr:row>0</xdr:row>
      <xdr:rowOff>63500</xdr:rowOff>
    </xdr:from>
    <xdr:to>
      <xdr:col>12</xdr:col>
      <xdr:colOff>504825</xdr:colOff>
      <xdr:row>9</xdr:row>
      <xdr:rowOff>127000</xdr:rowOff>
    </xdr:to>
    <xdr:graphicFrame macro="">
      <xdr:nvGraphicFramePr>
        <xdr:cNvPr id="22" name="ETF Weight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5"/>
  <sheetViews>
    <sheetView workbookViewId="0">
      <selection activeCell="F8" sqref="F8"/>
    </sheetView>
  </sheetViews>
  <sheetFormatPr defaultRowHeight="15" x14ac:dyDescent="0.25"/>
  <cols>
    <col min="1" max="1" width="9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>
        <v>42583</v>
      </c>
      <c r="B2">
        <v>22.299999</v>
      </c>
      <c r="C2">
        <v>92.013969000000003</v>
      </c>
      <c r="D2">
        <v>129.220001</v>
      </c>
      <c r="E2">
        <v>12.365582</v>
      </c>
      <c r="F2">
        <v>109.072548</v>
      </c>
      <c r="G2">
        <v>176.39492799999999</v>
      </c>
      <c r="H2">
        <v>215.84965500000001</v>
      </c>
      <c r="I2">
        <v>115.55049099999999</v>
      </c>
      <c r="J2">
        <v>112.139183</v>
      </c>
      <c r="K2">
        <v>94.419998000000007</v>
      </c>
    </row>
    <row r="3" spans="1:11" x14ac:dyDescent="0.25">
      <c r="A3" s="1">
        <v>42552</v>
      </c>
      <c r="B3">
        <v>22.379999000000002</v>
      </c>
      <c r="C3">
        <v>91.815337999999997</v>
      </c>
      <c r="D3">
        <v>128.979996</v>
      </c>
      <c r="E3">
        <v>12.591303</v>
      </c>
      <c r="F3">
        <v>109.539726</v>
      </c>
      <c r="G3">
        <v>176.095901</v>
      </c>
      <c r="H3">
        <v>216.02874800000001</v>
      </c>
      <c r="I3">
        <v>114.942024</v>
      </c>
      <c r="J3">
        <v>112.40121499999999</v>
      </c>
      <c r="K3">
        <v>94.709998999999996</v>
      </c>
    </row>
    <row r="4" spans="1:11" x14ac:dyDescent="0.25">
      <c r="A4" s="1">
        <v>42522</v>
      </c>
      <c r="B4">
        <v>21.290001</v>
      </c>
      <c r="C4">
        <v>88.061286999999993</v>
      </c>
      <c r="D4">
        <v>126.470001</v>
      </c>
      <c r="E4">
        <v>12.483349</v>
      </c>
      <c r="F4">
        <v>104.679024</v>
      </c>
      <c r="G4">
        <v>168.56047100000001</v>
      </c>
      <c r="H4">
        <v>208.42713900000001</v>
      </c>
      <c r="I4">
        <v>107.27124000000001</v>
      </c>
      <c r="J4">
        <v>111.79257200000001</v>
      </c>
      <c r="K4">
        <v>93.580001999999993</v>
      </c>
    </row>
    <row r="5" spans="1:11" x14ac:dyDescent="0.25">
      <c r="A5" s="1">
        <v>42492</v>
      </c>
      <c r="B5">
        <v>20.280000999999999</v>
      </c>
      <c r="C5">
        <v>82.355346999999995</v>
      </c>
      <c r="D5">
        <v>116.05999799999999</v>
      </c>
      <c r="E5">
        <v>11.982837999999999</v>
      </c>
      <c r="F5">
        <v>104.528351</v>
      </c>
      <c r="G5">
        <v>168.09393299999999</v>
      </c>
      <c r="H5">
        <v>207.705185</v>
      </c>
      <c r="I5">
        <v>109.77185799999999</v>
      </c>
      <c r="J5">
        <v>109.67027299999999</v>
      </c>
      <c r="K5">
        <v>87.360000999999997</v>
      </c>
    </row>
    <row r="6" spans="1:11" x14ac:dyDescent="0.25">
      <c r="A6" s="1">
        <v>42461</v>
      </c>
      <c r="B6">
        <v>20.99</v>
      </c>
      <c r="C6">
        <v>80.544265999999993</v>
      </c>
      <c r="D6">
        <v>123.650002</v>
      </c>
      <c r="E6">
        <v>11.740964</v>
      </c>
      <c r="F6">
        <v>103.081512</v>
      </c>
      <c r="G6">
        <v>162.66480999999999</v>
      </c>
      <c r="H6">
        <v>204.23091099999999</v>
      </c>
      <c r="I6">
        <v>105.175652</v>
      </c>
      <c r="J6">
        <v>109.655411</v>
      </c>
      <c r="K6">
        <v>90.93</v>
      </c>
    </row>
    <row r="7" spans="1:11" x14ac:dyDescent="0.25">
      <c r="A7" s="1">
        <v>42430</v>
      </c>
      <c r="B7">
        <v>20.77</v>
      </c>
      <c r="C7">
        <v>82.483306999999996</v>
      </c>
      <c r="D7">
        <v>117.639999</v>
      </c>
      <c r="E7">
        <v>10.500518</v>
      </c>
      <c r="F7">
        <v>100.960823</v>
      </c>
      <c r="G7">
        <v>161.69035299999999</v>
      </c>
      <c r="H7">
        <v>203.42915300000001</v>
      </c>
      <c r="I7">
        <v>108.637733</v>
      </c>
      <c r="J7">
        <v>109.37655599999999</v>
      </c>
      <c r="K7">
        <v>86.019997000000004</v>
      </c>
    </row>
    <row r="8" spans="1:11" x14ac:dyDescent="0.25">
      <c r="A8" s="1">
        <v>42401</v>
      </c>
      <c r="B8">
        <v>18.389999</v>
      </c>
      <c r="C8">
        <v>74.668899999999994</v>
      </c>
      <c r="D8">
        <v>118.639999</v>
      </c>
      <c r="E8">
        <v>9.731249</v>
      </c>
      <c r="F8">
        <v>92.679123000000004</v>
      </c>
      <c r="G8">
        <v>151.28843699999999</v>
      </c>
      <c r="H8">
        <v>190.60771199999999</v>
      </c>
      <c r="I8">
        <v>101.670647</v>
      </c>
      <c r="J8">
        <v>108.42815400000001</v>
      </c>
      <c r="K8">
        <v>85.879997000000003</v>
      </c>
    </row>
    <row r="9" spans="1:11" x14ac:dyDescent="0.25">
      <c r="A9" s="1">
        <v>42373</v>
      </c>
      <c r="B9">
        <v>18.450001</v>
      </c>
      <c r="C9">
        <v>74.941451999999998</v>
      </c>
      <c r="D9">
        <v>106.949997</v>
      </c>
      <c r="E9">
        <v>9.6560050000000004</v>
      </c>
      <c r="F9">
        <v>91.306754999999995</v>
      </c>
      <c r="G9">
        <v>150.42546100000001</v>
      </c>
      <c r="H9">
        <v>190.76527400000001</v>
      </c>
      <c r="I9">
        <v>103.287453</v>
      </c>
      <c r="J9">
        <v>107.47477000000001</v>
      </c>
      <c r="K9">
        <v>80.010002</v>
      </c>
    </row>
    <row r="10" spans="1:11" x14ac:dyDescent="0.25">
      <c r="A10" s="1">
        <v>42339</v>
      </c>
      <c r="B10">
        <v>19.510000000000002</v>
      </c>
      <c r="C10">
        <v>77.608551000000006</v>
      </c>
      <c r="D10">
        <v>101.459999</v>
      </c>
      <c r="E10">
        <v>11.187968</v>
      </c>
      <c r="F10">
        <v>97.516953000000001</v>
      </c>
      <c r="G10">
        <v>159.66029399999999</v>
      </c>
      <c r="H10">
        <v>200.760468</v>
      </c>
      <c r="I10">
        <v>110.95491</v>
      </c>
      <c r="J10">
        <v>106.157753</v>
      </c>
      <c r="K10">
        <v>80.629997000000003</v>
      </c>
    </row>
    <row r="11" spans="1:11" x14ac:dyDescent="0.25">
      <c r="A11" s="1">
        <v>42310</v>
      </c>
      <c r="B11">
        <v>20.271442</v>
      </c>
      <c r="C11">
        <v>76.213097000000005</v>
      </c>
      <c r="D11">
        <v>101.91999800000001</v>
      </c>
      <c r="E11">
        <v>11.382944999999999</v>
      </c>
      <c r="F11">
        <v>102.529404</v>
      </c>
      <c r="G11">
        <v>165.23584</v>
      </c>
      <c r="H11">
        <v>204.291122</v>
      </c>
      <c r="I11">
        <v>112.75305899999999</v>
      </c>
      <c r="J11">
        <v>106.361656</v>
      </c>
      <c r="K11">
        <v>78.739998</v>
      </c>
    </row>
    <row r="12" spans="1:11" x14ac:dyDescent="0.25">
      <c r="A12" s="1">
        <v>42278</v>
      </c>
      <c r="B12">
        <v>20.798224999999999</v>
      </c>
      <c r="C12">
        <v>76.693084999999996</v>
      </c>
      <c r="D12">
        <v>109.300003</v>
      </c>
      <c r="E12">
        <v>12.617800000000001</v>
      </c>
      <c r="F12">
        <v>101.196709</v>
      </c>
      <c r="G12">
        <v>163.229446</v>
      </c>
      <c r="H12">
        <v>203.547134</v>
      </c>
      <c r="I12">
        <v>112.07073200000001</v>
      </c>
      <c r="J12">
        <v>106.777092</v>
      </c>
      <c r="K12">
        <v>80.349997999999999</v>
      </c>
    </row>
    <row r="13" spans="1:11" x14ac:dyDescent="0.25">
      <c r="A13" s="1">
        <v>42248</v>
      </c>
      <c r="B13">
        <v>19.725147</v>
      </c>
      <c r="C13">
        <v>72.517159000000007</v>
      </c>
      <c r="D13">
        <v>106.860001</v>
      </c>
      <c r="E13">
        <v>11.587206999999999</v>
      </c>
      <c r="F13">
        <v>94.905602000000002</v>
      </c>
      <c r="G13">
        <v>155.263184</v>
      </c>
      <c r="H13">
        <v>187.59072900000001</v>
      </c>
      <c r="I13">
        <v>100.629288</v>
      </c>
      <c r="J13">
        <v>106.703934</v>
      </c>
      <c r="K13">
        <v>80.830001999999993</v>
      </c>
    </row>
    <row r="14" spans="1:11" x14ac:dyDescent="0.25">
      <c r="A14" s="1">
        <v>42219</v>
      </c>
      <c r="B14">
        <v>20.37875</v>
      </c>
      <c r="C14">
        <v>70.364295999999996</v>
      </c>
      <c r="D14">
        <v>108.82</v>
      </c>
      <c r="E14">
        <v>13.406992000000001</v>
      </c>
      <c r="F14">
        <v>98.436035000000004</v>
      </c>
      <c r="G14">
        <v>159.58708200000001</v>
      </c>
      <c r="H14">
        <v>192.50260900000001</v>
      </c>
      <c r="I14">
        <v>102.900612</v>
      </c>
      <c r="J14">
        <v>105.845078</v>
      </c>
      <c r="K14">
        <v>80.040001000000004</v>
      </c>
    </row>
    <row r="15" spans="1:11" x14ac:dyDescent="0.25">
      <c r="A15" s="1">
        <v>42186</v>
      </c>
      <c r="B15">
        <v>22.398088000000001</v>
      </c>
      <c r="C15">
        <v>75.088202999999993</v>
      </c>
      <c r="D15">
        <v>104.93</v>
      </c>
      <c r="E15">
        <v>14.018158</v>
      </c>
      <c r="F15">
        <v>103.444046</v>
      </c>
      <c r="G15">
        <v>170.81506300000001</v>
      </c>
      <c r="H15">
        <v>204.99722299999999</v>
      </c>
      <c r="I15">
        <v>110.437378</v>
      </c>
      <c r="J15">
        <v>106.201714</v>
      </c>
      <c r="K15">
        <v>78.319999999999993</v>
      </c>
    </row>
    <row r="16" spans="1:11" x14ac:dyDescent="0.25">
      <c r="A16" s="1">
        <v>42156</v>
      </c>
      <c r="B16">
        <v>23.978442999999999</v>
      </c>
      <c r="C16">
        <v>70.991623000000004</v>
      </c>
      <c r="D16">
        <v>112.370003</v>
      </c>
      <c r="E16">
        <v>14.154610999999999</v>
      </c>
      <c r="F16">
        <v>104.43208300000001</v>
      </c>
      <c r="G16">
        <v>167.08883700000001</v>
      </c>
      <c r="H16">
        <v>200.46878100000001</v>
      </c>
      <c r="I16">
        <v>105.623322</v>
      </c>
      <c r="J16">
        <v>105.293907</v>
      </c>
      <c r="K16">
        <v>79.349997999999999</v>
      </c>
    </row>
    <row r="17" spans="1:11" x14ac:dyDescent="0.25">
      <c r="A17" s="1">
        <v>42125</v>
      </c>
      <c r="B17">
        <v>24.62229</v>
      </c>
      <c r="C17">
        <v>74.468269000000006</v>
      </c>
      <c r="D17">
        <v>114.099998</v>
      </c>
      <c r="E17">
        <v>15.055192</v>
      </c>
      <c r="F17">
        <v>106.030388</v>
      </c>
      <c r="G17">
        <v>168.56291200000001</v>
      </c>
      <c r="H17">
        <v>204.62515300000001</v>
      </c>
      <c r="I17">
        <v>108.313942</v>
      </c>
      <c r="J17">
        <v>106.439964</v>
      </c>
      <c r="K17">
        <v>78.25</v>
      </c>
    </row>
    <row r="18" spans="1:11" x14ac:dyDescent="0.25">
      <c r="A18" s="1">
        <v>42095</v>
      </c>
      <c r="B18">
        <v>25.510019</v>
      </c>
      <c r="C18">
        <v>74.694098999999994</v>
      </c>
      <c r="D18">
        <v>113.470001</v>
      </c>
      <c r="E18">
        <v>15.372926</v>
      </c>
      <c r="F18">
        <v>104.59676399999999</v>
      </c>
      <c r="G18">
        <v>164.401962</v>
      </c>
      <c r="H18">
        <v>202.02784700000001</v>
      </c>
      <c r="I18">
        <v>105.932114</v>
      </c>
      <c r="J18">
        <v>106.907585</v>
      </c>
      <c r="K18">
        <v>81.379997000000003</v>
      </c>
    </row>
    <row r="19" spans="1:11" x14ac:dyDescent="0.25">
      <c r="A19" s="1">
        <v>42065</v>
      </c>
      <c r="B19">
        <v>23.763828</v>
      </c>
      <c r="C19">
        <v>79.333076000000005</v>
      </c>
      <c r="D19">
        <v>113.660004</v>
      </c>
      <c r="E19">
        <v>14.809846</v>
      </c>
      <c r="F19">
        <v>105.972275</v>
      </c>
      <c r="G19">
        <v>168.710464</v>
      </c>
      <c r="H19">
        <v>200.06047100000001</v>
      </c>
      <c r="I19">
        <v>103.934135</v>
      </c>
      <c r="J19">
        <v>107.253777</v>
      </c>
      <c r="K19">
        <v>81.019997000000004</v>
      </c>
    </row>
    <row r="20" spans="1:11" x14ac:dyDescent="0.25">
      <c r="A20" s="1">
        <v>42037</v>
      </c>
      <c r="B20">
        <v>24.300367000000001</v>
      </c>
      <c r="C20">
        <v>77.982498000000007</v>
      </c>
      <c r="D20">
        <v>116.160004</v>
      </c>
      <c r="E20">
        <v>15.247795999999999</v>
      </c>
      <c r="F20">
        <v>104.611519</v>
      </c>
      <c r="G20">
        <v>164.81007399999999</v>
      </c>
      <c r="H20">
        <v>203.252701</v>
      </c>
      <c r="I20">
        <v>106.44516</v>
      </c>
      <c r="J20">
        <v>106.853371</v>
      </c>
      <c r="K20">
        <v>81.279999000000004</v>
      </c>
    </row>
    <row r="21" spans="1:11" x14ac:dyDescent="0.25">
      <c r="A21" s="1">
        <v>42006</v>
      </c>
      <c r="B21">
        <v>23.315083999999999</v>
      </c>
      <c r="C21">
        <v>80.957001000000005</v>
      </c>
      <c r="D21">
        <v>123.449997</v>
      </c>
      <c r="E21">
        <v>15.025731</v>
      </c>
      <c r="F21">
        <v>99.006812999999994</v>
      </c>
      <c r="G21">
        <v>157.83341999999999</v>
      </c>
      <c r="H21">
        <v>192.436859</v>
      </c>
      <c r="I21">
        <v>99.276802000000004</v>
      </c>
      <c r="J21">
        <v>107.818123</v>
      </c>
      <c r="K21">
        <v>82.809997999999993</v>
      </c>
    </row>
    <row r="22" spans="1:11" x14ac:dyDescent="0.25">
      <c r="A22" s="1">
        <v>41974</v>
      </c>
      <c r="B22">
        <v>23.315083999999999</v>
      </c>
      <c r="C22">
        <v>75.765647999999999</v>
      </c>
      <c r="D22">
        <v>113.58000199999999</v>
      </c>
      <c r="E22">
        <v>15.394784</v>
      </c>
      <c r="F22">
        <v>102.385124</v>
      </c>
      <c r="G22">
        <v>156.67553699999999</v>
      </c>
      <c r="H22">
        <v>198.312714</v>
      </c>
      <c r="I22">
        <v>101.388031</v>
      </c>
      <c r="J22">
        <v>105.649872</v>
      </c>
      <c r="K22">
        <v>81.209998999999996</v>
      </c>
    </row>
    <row r="23" spans="1:11" x14ac:dyDescent="0.25">
      <c r="A23" s="1">
        <v>41946</v>
      </c>
      <c r="B23">
        <v>24.362707</v>
      </c>
      <c r="C23">
        <v>74.350075000000004</v>
      </c>
      <c r="D23">
        <v>112.110001</v>
      </c>
      <c r="E23">
        <v>15.904427999999999</v>
      </c>
      <c r="F23">
        <v>100.57502700000001</v>
      </c>
      <c r="G23">
        <v>156.54821799999999</v>
      </c>
      <c r="H23">
        <v>198.81703200000001</v>
      </c>
      <c r="I23">
        <v>103.711823</v>
      </c>
      <c r="J23">
        <v>105.494148</v>
      </c>
      <c r="K23">
        <v>82.010002</v>
      </c>
    </row>
    <row r="24" spans="1:11" x14ac:dyDescent="0.25">
      <c r="A24" s="1">
        <v>41913</v>
      </c>
      <c r="B24">
        <v>24.580738</v>
      </c>
      <c r="C24">
        <v>72.892052000000007</v>
      </c>
      <c r="D24">
        <v>112.660004</v>
      </c>
      <c r="E24">
        <v>16.070885000000001</v>
      </c>
      <c r="F24">
        <v>99.481102000000007</v>
      </c>
      <c r="G24">
        <v>152.77243000000001</v>
      </c>
      <c r="H24">
        <v>193.50117499999999</v>
      </c>
      <c r="I24">
        <v>99.201758999999996</v>
      </c>
      <c r="J24">
        <v>104.80555</v>
      </c>
      <c r="K24">
        <v>86.650002000000001</v>
      </c>
    </row>
    <row r="25" spans="1:11" x14ac:dyDescent="0.25">
      <c r="A25" s="1">
        <v>41884</v>
      </c>
      <c r="B25">
        <v>24.078316000000001</v>
      </c>
      <c r="C25">
        <v>66.303252999999998</v>
      </c>
      <c r="D25">
        <v>116.209999</v>
      </c>
      <c r="E25">
        <v>16.581209000000001</v>
      </c>
      <c r="F25">
        <v>94.877075000000005</v>
      </c>
      <c r="G25">
        <v>148.14563000000001</v>
      </c>
      <c r="H25">
        <v>189.04890399999999</v>
      </c>
      <c r="I25">
        <v>96.648337999999995</v>
      </c>
      <c r="J25">
        <v>103.70208</v>
      </c>
      <c r="K25">
        <v>88.800003000000004</v>
      </c>
    </row>
    <row r="26" spans="1:11" x14ac:dyDescent="0.25">
      <c r="A26" s="1">
        <v>41852</v>
      </c>
      <c r="B26">
        <v>26.012165</v>
      </c>
      <c r="C26">
        <v>70.565826000000001</v>
      </c>
      <c r="D26">
        <v>123.860001</v>
      </c>
      <c r="E26">
        <v>16.702303000000001</v>
      </c>
      <c r="F26">
        <v>100.441849</v>
      </c>
      <c r="G26">
        <v>154.04042100000001</v>
      </c>
      <c r="H26">
        <v>191.693558</v>
      </c>
      <c r="I26">
        <v>97.385193000000001</v>
      </c>
      <c r="J26">
        <v>104.343628</v>
      </c>
      <c r="K26">
        <v>93.610000999999997</v>
      </c>
    </row>
    <row r="27" spans="1:11" x14ac:dyDescent="0.25">
      <c r="A27" s="1">
        <v>41821</v>
      </c>
      <c r="B27">
        <v>25.064201000000001</v>
      </c>
      <c r="C27">
        <v>68.481223999999997</v>
      </c>
      <c r="D27">
        <v>123.389999</v>
      </c>
      <c r="E27">
        <v>15.738075</v>
      </c>
      <c r="F27">
        <v>95.552459999999996</v>
      </c>
      <c r="G27">
        <v>146.79858400000001</v>
      </c>
      <c r="H27">
        <v>184.415863</v>
      </c>
      <c r="I27">
        <v>92.739440999999999</v>
      </c>
      <c r="J27">
        <v>103.157684</v>
      </c>
      <c r="K27">
        <v>94.709998999999996</v>
      </c>
    </row>
    <row r="28" spans="1:11" x14ac:dyDescent="0.25">
      <c r="A28" s="1">
        <v>41792</v>
      </c>
      <c r="B28">
        <v>24.675535</v>
      </c>
      <c r="C28">
        <v>68.426361</v>
      </c>
      <c r="D28">
        <v>128.03999300000001</v>
      </c>
      <c r="E28">
        <v>16.180921999999999</v>
      </c>
      <c r="F28">
        <v>100.356239</v>
      </c>
      <c r="G28">
        <v>153.30844099999999</v>
      </c>
      <c r="H28">
        <v>186.927719</v>
      </c>
      <c r="I28">
        <v>91.656090000000006</v>
      </c>
      <c r="J28">
        <v>103.417168</v>
      </c>
      <c r="K28">
        <v>96.25</v>
      </c>
    </row>
    <row r="29" spans="1:11" x14ac:dyDescent="0.25">
      <c r="A29" s="1">
        <v>41760</v>
      </c>
      <c r="B29">
        <v>23.822365000000001</v>
      </c>
      <c r="C29">
        <v>67.659012000000004</v>
      </c>
      <c r="D29">
        <v>120.43</v>
      </c>
      <c r="E29">
        <v>15.533685</v>
      </c>
      <c r="F29">
        <v>96.199303</v>
      </c>
      <c r="G29">
        <v>147.57466099999999</v>
      </c>
      <c r="H29">
        <v>183.146683</v>
      </c>
      <c r="I29">
        <v>88.879645999999994</v>
      </c>
      <c r="J29">
        <v>103.47672300000001</v>
      </c>
      <c r="K29">
        <v>95.790001000000004</v>
      </c>
    </row>
    <row r="30" spans="1:11" x14ac:dyDescent="0.25">
      <c r="A30" s="1">
        <v>41730</v>
      </c>
      <c r="B30">
        <v>23.244108000000001</v>
      </c>
      <c r="C30">
        <v>66.073746</v>
      </c>
      <c r="D30">
        <v>124.220001</v>
      </c>
      <c r="E30">
        <v>15.189116</v>
      </c>
      <c r="F30">
        <v>94.648781</v>
      </c>
      <c r="G30">
        <v>144.82753</v>
      </c>
      <c r="H30">
        <v>178.99290500000001</v>
      </c>
      <c r="I30">
        <v>85.063980000000001</v>
      </c>
      <c r="J30">
        <v>102.270889</v>
      </c>
      <c r="K30">
        <v>95.440002000000007</v>
      </c>
    </row>
    <row r="31" spans="1:11" x14ac:dyDescent="0.25">
      <c r="A31" s="1">
        <v>41701</v>
      </c>
      <c r="B31">
        <v>23.063993</v>
      </c>
      <c r="C31">
        <v>63.972144999999998</v>
      </c>
      <c r="D31">
        <v>123.610001</v>
      </c>
      <c r="E31">
        <v>14.811693</v>
      </c>
      <c r="F31">
        <v>95.733192000000003</v>
      </c>
      <c r="G31">
        <v>148.96769699999999</v>
      </c>
      <c r="H31">
        <v>177.757217</v>
      </c>
      <c r="I31">
        <v>85.336524999999995</v>
      </c>
      <c r="J31">
        <v>101.43740099999999</v>
      </c>
      <c r="K31">
        <v>94.529999000000004</v>
      </c>
    </row>
    <row r="32" spans="1:11" x14ac:dyDescent="0.25">
      <c r="A32" s="1">
        <v>41673</v>
      </c>
      <c r="B32">
        <v>21.983315000000001</v>
      </c>
      <c r="C32">
        <v>63.655845999999997</v>
      </c>
      <c r="D32">
        <v>127.620003</v>
      </c>
      <c r="E32">
        <v>14.602015</v>
      </c>
      <c r="F32">
        <v>94.492919999999998</v>
      </c>
      <c r="G32">
        <v>149.965012</v>
      </c>
      <c r="H32">
        <v>176.29475400000001</v>
      </c>
      <c r="I32">
        <v>87.734832999999995</v>
      </c>
      <c r="J32">
        <v>101.587791</v>
      </c>
      <c r="K32">
        <v>95.919998000000007</v>
      </c>
    </row>
    <row r="33" spans="1:11" x14ac:dyDescent="0.25">
      <c r="A33" s="1">
        <v>41641</v>
      </c>
      <c r="B33">
        <v>21.2439</v>
      </c>
      <c r="C33">
        <v>60.586899000000003</v>
      </c>
      <c r="D33">
        <v>120.089996</v>
      </c>
      <c r="E33">
        <v>14.6945</v>
      </c>
      <c r="F33">
        <v>90.023148000000006</v>
      </c>
      <c r="G33">
        <v>142.23635899999999</v>
      </c>
      <c r="H33">
        <v>168.619888</v>
      </c>
      <c r="I33">
        <v>83.435851999999997</v>
      </c>
      <c r="J33">
        <v>101.206856</v>
      </c>
      <c r="K33">
        <v>95.580001999999993</v>
      </c>
    </row>
    <row r="34" spans="1:11" x14ac:dyDescent="0.25">
      <c r="A34" s="1">
        <v>41610</v>
      </c>
      <c r="B34">
        <v>23.319944</v>
      </c>
      <c r="C34">
        <v>58.102943000000003</v>
      </c>
      <c r="D34">
        <v>116.120003</v>
      </c>
      <c r="E34">
        <v>14.686246000000001</v>
      </c>
      <c r="F34">
        <v>92.600403</v>
      </c>
      <c r="G34">
        <v>146.008331</v>
      </c>
      <c r="H34">
        <v>174.780609</v>
      </c>
      <c r="I34">
        <v>85.070335</v>
      </c>
      <c r="J34">
        <v>99.671004999999994</v>
      </c>
      <c r="K34">
        <v>92.760002</v>
      </c>
    </row>
    <row r="35" spans="1:11" x14ac:dyDescent="0.25">
      <c r="A35" s="1">
        <v>41579</v>
      </c>
      <c r="B35">
        <v>23.401436</v>
      </c>
      <c r="C35">
        <v>58.043816</v>
      </c>
      <c r="D35">
        <v>120.699997</v>
      </c>
      <c r="E35">
        <v>14.595437</v>
      </c>
      <c r="F35">
        <v>90.123001000000002</v>
      </c>
      <c r="G35">
        <v>141.35034200000001</v>
      </c>
      <c r="H35">
        <v>170.36367799999999</v>
      </c>
      <c r="I35">
        <v>82.651061999999996</v>
      </c>
      <c r="J35">
        <v>100.229027</v>
      </c>
      <c r="K35">
        <v>95.339995999999999</v>
      </c>
    </row>
    <row r="36" spans="1:11" x14ac:dyDescent="0.25">
      <c r="A36" s="1">
        <v>41548</v>
      </c>
      <c r="B36">
        <v>23.604604999999999</v>
      </c>
      <c r="C36">
        <v>61.260593</v>
      </c>
      <c r="D36">
        <v>127.739998</v>
      </c>
      <c r="E36">
        <v>14.526597000000001</v>
      </c>
      <c r="F36">
        <v>87.555526999999998</v>
      </c>
      <c r="G36">
        <v>139.12977599999999</v>
      </c>
      <c r="H36">
        <v>165.45983899999999</v>
      </c>
      <c r="I36">
        <v>79.816642999999999</v>
      </c>
      <c r="J36">
        <v>100.480904</v>
      </c>
      <c r="K36">
        <v>99.379997000000003</v>
      </c>
    </row>
    <row r="37" spans="1:11" x14ac:dyDescent="0.25">
      <c r="A37" s="1">
        <v>41520</v>
      </c>
      <c r="B37">
        <v>22.708812999999999</v>
      </c>
      <c r="C37">
        <v>58.610962000000001</v>
      </c>
      <c r="D37">
        <v>128.179993</v>
      </c>
      <c r="E37">
        <v>14.298984000000001</v>
      </c>
      <c r="F37">
        <v>84.250488000000004</v>
      </c>
      <c r="G37">
        <v>134.89227299999999</v>
      </c>
      <c r="H37">
        <v>158.137024</v>
      </c>
      <c r="I37">
        <v>76.047066000000001</v>
      </c>
      <c r="J37">
        <v>99.651168999999996</v>
      </c>
      <c r="K37">
        <v>99.470000999999996</v>
      </c>
    </row>
    <row r="38" spans="1:11" x14ac:dyDescent="0.25">
      <c r="A38" s="1">
        <v>41487</v>
      </c>
      <c r="B38">
        <v>20.935696</v>
      </c>
      <c r="C38">
        <v>56.638877999999998</v>
      </c>
      <c r="D38">
        <v>134.61999499999999</v>
      </c>
      <c r="E38">
        <v>14.079499</v>
      </c>
      <c r="F38">
        <v>80.011818000000005</v>
      </c>
      <c r="G38">
        <v>127.40007799999999</v>
      </c>
      <c r="H38">
        <v>153.28607199999999</v>
      </c>
      <c r="I38">
        <v>72.541718000000003</v>
      </c>
      <c r="J38">
        <v>98.546822000000006</v>
      </c>
      <c r="K38">
        <v>99.629997000000003</v>
      </c>
    </row>
    <row r="39" spans="1:11" x14ac:dyDescent="0.25">
      <c r="A39" s="1">
        <v>41456</v>
      </c>
      <c r="B39">
        <v>21.877665</v>
      </c>
      <c r="C39">
        <v>60.888987999999998</v>
      </c>
      <c r="D39">
        <v>127.959999</v>
      </c>
      <c r="E39">
        <v>14.276871</v>
      </c>
      <c r="F39">
        <v>83.494254999999995</v>
      </c>
      <c r="G39">
        <v>132.33393899999999</v>
      </c>
      <c r="H39">
        <v>158.02563499999999</v>
      </c>
      <c r="I39">
        <v>72.830078</v>
      </c>
      <c r="J39">
        <v>99.367973000000006</v>
      </c>
      <c r="K39">
        <v>99.93</v>
      </c>
    </row>
    <row r="40" spans="1:11" x14ac:dyDescent="0.25">
      <c r="A40" s="1">
        <v>41428</v>
      </c>
      <c r="B40">
        <v>21.563675</v>
      </c>
      <c r="C40">
        <v>60.344555</v>
      </c>
      <c r="D40">
        <v>119.110001</v>
      </c>
      <c r="E40">
        <v>14.292885999999999</v>
      </c>
      <c r="F40">
        <v>78.144569000000004</v>
      </c>
      <c r="G40">
        <v>124.633247</v>
      </c>
      <c r="H40">
        <v>150.26063500000001</v>
      </c>
      <c r="I40">
        <v>68.504677000000001</v>
      </c>
      <c r="J40">
        <v>99.101257000000004</v>
      </c>
      <c r="K40">
        <v>98.629997000000003</v>
      </c>
    </row>
    <row r="41" spans="1:11" x14ac:dyDescent="0.25">
      <c r="A41" s="1">
        <v>41395</v>
      </c>
      <c r="B41">
        <v>22.810397999999999</v>
      </c>
      <c r="C41">
        <v>61.564697000000002</v>
      </c>
      <c r="D41">
        <v>133.91999799999999</v>
      </c>
      <c r="E41">
        <v>13.932561</v>
      </c>
      <c r="F41">
        <v>79.152884999999998</v>
      </c>
      <c r="G41">
        <v>127.75748400000001</v>
      </c>
      <c r="H41">
        <v>152.29290800000001</v>
      </c>
      <c r="I41">
        <v>70.185813999999993</v>
      </c>
      <c r="J41">
        <v>100.677307</v>
      </c>
      <c r="K41">
        <v>97.459998999999996</v>
      </c>
    </row>
    <row r="42" spans="1:11" x14ac:dyDescent="0.25">
      <c r="A42" s="1">
        <v>41365</v>
      </c>
      <c r="B42">
        <v>23.955534</v>
      </c>
      <c r="C42">
        <v>65.478813000000002</v>
      </c>
      <c r="D42">
        <v>142.770004</v>
      </c>
      <c r="E42">
        <v>14.040744</v>
      </c>
      <c r="F42">
        <v>76.762801999999994</v>
      </c>
      <c r="G42">
        <v>125.00005299999999</v>
      </c>
      <c r="H42">
        <v>148.78024300000001</v>
      </c>
      <c r="I42">
        <v>67.761650000000003</v>
      </c>
      <c r="J42">
        <v>102.733116</v>
      </c>
      <c r="K42">
        <v>100.459999</v>
      </c>
    </row>
    <row r="43" spans="1:11" x14ac:dyDescent="0.25">
      <c r="A43" s="1">
        <v>41334</v>
      </c>
      <c r="B43">
        <v>23.595369000000002</v>
      </c>
      <c r="C43">
        <v>61.347248</v>
      </c>
      <c r="D43">
        <v>154.449997</v>
      </c>
      <c r="E43">
        <v>13.977639</v>
      </c>
      <c r="F43">
        <v>76.697449000000006</v>
      </c>
      <c r="G43">
        <v>123.54422</v>
      </c>
      <c r="H43">
        <v>145.975708</v>
      </c>
      <c r="I43">
        <v>66.084862000000001</v>
      </c>
      <c r="J43">
        <v>101.747597</v>
      </c>
      <c r="K43">
        <v>104.050003</v>
      </c>
    </row>
    <row r="44" spans="1:11" x14ac:dyDescent="0.25">
      <c r="A44" s="1">
        <v>41306</v>
      </c>
      <c r="B44">
        <v>23.918593999999999</v>
      </c>
      <c r="C44">
        <v>59.634448999999996</v>
      </c>
      <c r="D44">
        <v>153</v>
      </c>
      <c r="E44">
        <v>13.472804</v>
      </c>
      <c r="F44">
        <v>73.354812999999993</v>
      </c>
      <c r="G44">
        <v>118.16295599999999</v>
      </c>
      <c r="H44">
        <v>140.635605</v>
      </c>
      <c r="I44">
        <v>64.144622999999996</v>
      </c>
      <c r="J44">
        <v>101.64743799999999</v>
      </c>
      <c r="K44">
        <v>105.760002</v>
      </c>
    </row>
    <row r="45" spans="1:11" x14ac:dyDescent="0.25">
      <c r="A45" s="1">
        <v>41276</v>
      </c>
      <c r="B45">
        <v>24.426518999999999</v>
      </c>
      <c r="C45">
        <v>58.918049000000003</v>
      </c>
      <c r="D45">
        <v>161.199997</v>
      </c>
      <c r="E45">
        <v>13.431258</v>
      </c>
      <c r="F45">
        <v>72.188079999999999</v>
      </c>
      <c r="G45">
        <v>117.893417</v>
      </c>
      <c r="H45">
        <v>138.86386100000001</v>
      </c>
      <c r="I45">
        <v>63.924759000000002</v>
      </c>
      <c r="J45">
        <v>101.050377</v>
      </c>
      <c r="K45">
        <v>107.18</v>
      </c>
    </row>
    <row r="46" spans="1:11" x14ac:dyDescent="0.25">
      <c r="A46" s="1">
        <v>41246</v>
      </c>
      <c r="B46">
        <v>24.371106999999999</v>
      </c>
      <c r="C46">
        <v>56.794719999999998</v>
      </c>
      <c r="D46">
        <v>162.020004</v>
      </c>
      <c r="E46">
        <v>12.390314999999999</v>
      </c>
      <c r="F46">
        <v>67.810508999999996</v>
      </c>
      <c r="G46">
        <v>110.134613</v>
      </c>
      <c r="H46">
        <v>132.10154700000001</v>
      </c>
      <c r="I46">
        <v>62.261391000000003</v>
      </c>
      <c r="J46">
        <v>101.681999</v>
      </c>
      <c r="K46">
        <v>113.029999</v>
      </c>
    </row>
    <row r="47" spans="1:11" x14ac:dyDescent="0.25">
      <c r="A47" s="1">
        <v>41214</v>
      </c>
      <c r="B47">
        <v>22.806013</v>
      </c>
      <c r="C47">
        <v>54.756287</v>
      </c>
      <c r="D47">
        <v>166.050003</v>
      </c>
      <c r="E47">
        <v>12.693275999999999</v>
      </c>
      <c r="F47">
        <v>65.625022999999999</v>
      </c>
      <c r="G47">
        <v>108.840012</v>
      </c>
      <c r="H47">
        <v>130.931747</v>
      </c>
      <c r="I47">
        <v>62.553489999999996</v>
      </c>
      <c r="J47">
        <v>101.931961</v>
      </c>
      <c r="K47">
        <v>119.010002</v>
      </c>
    </row>
    <row r="48" spans="1:11" x14ac:dyDescent="0.25">
      <c r="A48" s="1">
        <v>41183</v>
      </c>
      <c r="B48">
        <v>22.598112</v>
      </c>
      <c r="C48">
        <v>54.901257000000001</v>
      </c>
      <c r="D48">
        <v>166.83000200000001</v>
      </c>
      <c r="E48">
        <v>12.697455</v>
      </c>
      <c r="F48">
        <v>64.969864000000001</v>
      </c>
      <c r="G48">
        <v>106.06055499999999</v>
      </c>
      <c r="H48">
        <v>130.194885</v>
      </c>
      <c r="I48">
        <v>61.745421999999998</v>
      </c>
      <c r="J48">
        <v>101.656807</v>
      </c>
      <c r="K48">
        <v>122.94000200000001</v>
      </c>
    </row>
    <row r="49" spans="1:11" x14ac:dyDescent="0.25">
      <c r="A49" s="1">
        <v>41156</v>
      </c>
      <c r="B49">
        <v>22.634270000000001</v>
      </c>
      <c r="C49">
        <v>55.404392000000001</v>
      </c>
      <c r="D49">
        <v>171.88999899999999</v>
      </c>
      <c r="E49">
        <v>12.674507999999999</v>
      </c>
      <c r="F49">
        <v>65.424835000000002</v>
      </c>
      <c r="G49">
        <v>107.30651899999999</v>
      </c>
      <c r="H49">
        <v>132.608124</v>
      </c>
      <c r="I49">
        <v>65.186813000000001</v>
      </c>
      <c r="J49">
        <v>101.704826</v>
      </c>
      <c r="K49">
        <v>125.800003</v>
      </c>
    </row>
    <row r="50" spans="1:11" x14ac:dyDescent="0.25">
      <c r="A50" s="1">
        <v>41122</v>
      </c>
      <c r="B50">
        <v>21.540520000000001</v>
      </c>
      <c r="C50">
        <v>56.456283999999997</v>
      </c>
      <c r="D50">
        <v>164.220001</v>
      </c>
      <c r="E50">
        <v>12.49858</v>
      </c>
      <c r="F50">
        <v>63.641345999999999</v>
      </c>
      <c r="G50">
        <v>105.595139</v>
      </c>
      <c r="H50">
        <v>129.329498</v>
      </c>
      <c r="I50">
        <v>64.612785000000002</v>
      </c>
      <c r="J50">
        <v>101.43441</v>
      </c>
      <c r="K50">
        <v>125.410004</v>
      </c>
    </row>
    <row r="51" spans="1:11" x14ac:dyDescent="0.25">
      <c r="A51" s="1">
        <v>41092</v>
      </c>
      <c r="B51">
        <v>21.423010000000001</v>
      </c>
      <c r="C51">
        <v>56.464740999999997</v>
      </c>
      <c r="D51">
        <v>156.490005</v>
      </c>
      <c r="E51">
        <v>12.391012</v>
      </c>
      <c r="F51">
        <v>61.794167000000002</v>
      </c>
      <c r="G51">
        <v>101.34876300000001</v>
      </c>
      <c r="H51">
        <v>126.168648</v>
      </c>
      <c r="I51">
        <v>61.427647</v>
      </c>
      <c r="J51">
        <v>101.43439499999999</v>
      </c>
      <c r="K51">
        <v>125.739998</v>
      </c>
    </row>
    <row r="52" spans="1:11" x14ac:dyDescent="0.25">
      <c r="A52" s="1">
        <v>41061</v>
      </c>
      <c r="B52">
        <v>21.169910000000002</v>
      </c>
      <c r="C52">
        <v>55.356430000000003</v>
      </c>
      <c r="D52">
        <v>155.19000199999999</v>
      </c>
      <c r="E52">
        <v>12.036982999999999</v>
      </c>
      <c r="F52">
        <v>62.058044000000002</v>
      </c>
      <c r="G52">
        <v>101.24355300000001</v>
      </c>
      <c r="H52">
        <v>124.69358099999999</v>
      </c>
      <c r="I52">
        <v>60.820953000000003</v>
      </c>
      <c r="J52">
        <v>100.07131200000001</v>
      </c>
      <c r="K52">
        <v>122.94000200000001</v>
      </c>
    </row>
    <row r="53" spans="1:11" x14ac:dyDescent="0.25">
      <c r="A53" s="1">
        <v>41030</v>
      </c>
      <c r="B53">
        <v>20.202712999999999</v>
      </c>
      <c r="C53">
        <v>52.462063000000001</v>
      </c>
      <c r="D53">
        <v>151.61999499999999</v>
      </c>
      <c r="E53">
        <v>11.848668999999999</v>
      </c>
      <c r="F53">
        <v>59.401015999999998</v>
      </c>
      <c r="G53">
        <v>100.544281</v>
      </c>
      <c r="H53">
        <v>119.830719</v>
      </c>
      <c r="I53">
        <v>58.695335</v>
      </c>
      <c r="J53">
        <v>100.091087</v>
      </c>
      <c r="K53">
        <v>125.43</v>
      </c>
    </row>
    <row r="54" spans="1:11" x14ac:dyDescent="0.25">
      <c r="A54" s="1">
        <v>41001</v>
      </c>
      <c r="B54">
        <v>22.679463999999999</v>
      </c>
      <c r="C54">
        <v>54.937480999999998</v>
      </c>
      <c r="D54">
        <v>161.88000500000001</v>
      </c>
      <c r="E54">
        <v>12.477085000000001</v>
      </c>
      <c r="F54">
        <v>63.404761999999998</v>
      </c>
      <c r="G54">
        <v>107.16832700000001</v>
      </c>
      <c r="H54">
        <v>127.48704499999999</v>
      </c>
      <c r="I54">
        <v>63.140521999999997</v>
      </c>
      <c r="J54">
        <v>99.023430000000005</v>
      </c>
      <c r="K54">
        <v>123.160004</v>
      </c>
    </row>
    <row r="55" spans="1:11" x14ac:dyDescent="0.25">
      <c r="A55" s="1">
        <v>40969</v>
      </c>
      <c r="B55">
        <v>23.303173000000001</v>
      </c>
      <c r="C55">
        <v>53.410274999999999</v>
      </c>
      <c r="D55">
        <v>162.11999499999999</v>
      </c>
      <c r="E55">
        <v>12.350904</v>
      </c>
      <c r="F55">
        <v>64.041718000000003</v>
      </c>
      <c r="G55">
        <v>107.32105300000001</v>
      </c>
      <c r="H55">
        <v>128.34382600000001</v>
      </c>
      <c r="I55">
        <v>63.887690999999997</v>
      </c>
      <c r="J55">
        <v>98.134369000000007</v>
      </c>
      <c r="K55">
        <v>118.779999</v>
      </c>
    </row>
    <row r="56" spans="1:11" x14ac:dyDescent="0.25">
      <c r="A56" s="1">
        <v>40940</v>
      </c>
      <c r="B56">
        <v>24.062469</v>
      </c>
      <c r="C56">
        <v>50.770149000000004</v>
      </c>
      <c r="D56">
        <v>164.28999300000001</v>
      </c>
      <c r="E56">
        <v>12.684913999999999</v>
      </c>
      <c r="F56">
        <v>62.532725999999997</v>
      </c>
      <c r="G56">
        <v>105.582375</v>
      </c>
      <c r="H56">
        <v>124.344444</v>
      </c>
      <c r="I56">
        <v>60.814692999999998</v>
      </c>
      <c r="J56">
        <v>98.699860000000001</v>
      </c>
      <c r="K56">
        <v>121.029999</v>
      </c>
    </row>
    <row r="57" spans="1:11" x14ac:dyDescent="0.25">
      <c r="A57" s="1">
        <v>40911</v>
      </c>
      <c r="B57">
        <v>22.742739</v>
      </c>
      <c r="C57">
        <v>51.361176</v>
      </c>
      <c r="D57">
        <v>169.30999800000001</v>
      </c>
      <c r="E57">
        <v>12.313159000000001</v>
      </c>
      <c r="F57">
        <v>60.977367000000001</v>
      </c>
      <c r="G57">
        <v>100.541031</v>
      </c>
      <c r="H57">
        <v>119.171745</v>
      </c>
      <c r="I57">
        <v>57.151263999999998</v>
      </c>
      <c r="J57">
        <v>98.713226000000006</v>
      </c>
      <c r="K57">
        <v>129.13000500000001</v>
      </c>
    </row>
    <row r="58" spans="1:11" x14ac:dyDescent="0.25">
      <c r="A58" s="1">
        <v>40878</v>
      </c>
      <c r="B58">
        <v>20.672751999999999</v>
      </c>
      <c r="C58">
        <v>48.281170000000003</v>
      </c>
      <c r="D58">
        <v>151.990005</v>
      </c>
      <c r="E58">
        <v>12.159519</v>
      </c>
      <c r="F58">
        <v>57.002560000000003</v>
      </c>
      <c r="G58">
        <v>94.089256000000006</v>
      </c>
      <c r="H58">
        <v>113.890137</v>
      </c>
      <c r="I58">
        <v>52.713619000000001</v>
      </c>
      <c r="J58">
        <v>98.002098000000004</v>
      </c>
      <c r="K58">
        <v>127.93</v>
      </c>
    </row>
    <row r="59" spans="1:11" x14ac:dyDescent="0.25">
      <c r="A59" s="1">
        <v>40848</v>
      </c>
      <c r="B59">
        <v>21.422207</v>
      </c>
      <c r="C59">
        <v>46.047694999999997</v>
      </c>
      <c r="D59">
        <v>170.13000500000001</v>
      </c>
      <c r="E59">
        <v>11.683966</v>
      </c>
      <c r="F59">
        <v>56.536301000000002</v>
      </c>
      <c r="G59">
        <v>95.726973999999998</v>
      </c>
      <c r="H59">
        <v>112.712486</v>
      </c>
      <c r="I59">
        <v>53.039378999999997</v>
      </c>
      <c r="J59">
        <v>96.690285000000003</v>
      </c>
      <c r="K59">
        <v>126.980003</v>
      </c>
    </row>
    <row r="60" spans="1:11" x14ac:dyDescent="0.25">
      <c r="A60" s="1">
        <v>40819</v>
      </c>
      <c r="B60">
        <v>21.933516999999998</v>
      </c>
      <c r="C60">
        <v>47.86721</v>
      </c>
      <c r="D60">
        <v>167.33999600000001</v>
      </c>
      <c r="E60">
        <v>11.648965</v>
      </c>
      <c r="F60">
        <v>56.616416999999998</v>
      </c>
      <c r="G60">
        <v>96.820403999999996</v>
      </c>
      <c r="H60">
        <v>113.172386</v>
      </c>
      <c r="I60">
        <v>54.506686999999999</v>
      </c>
      <c r="J60">
        <v>97.011177000000004</v>
      </c>
      <c r="K60">
        <v>126.019997</v>
      </c>
    </row>
    <row r="61" spans="1:11" x14ac:dyDescent="0.25">
      <c r="A61" s="1">
        <v>40787</v>
      </c>
      <c r="B61">
        <v>19.156566999999999</v>
      </c>
      <c r="C61">
        <v>41.881748000000002</v>
      </c>
      <c r="D61">
        <v>158.05999800000001</v>
      </c>
      <c r="E61">
        <v>10.972201</v>
      </c>
      <c r="F61">
        <v>49.477055</v>
      </c>
      <c r="G61">
        <v>85.420258000000004</v>
      </c>
      <c r="H61">
        <v>102.035507</v>
      </c>
      <c r="I61">
        <v>49.371116999999998</v>
      </c>
      <c r="J61">
        <v>96.888626000000002</v>
      </c>
      <c r="K61">
        <v>127.800003</v>
      </c>
    </row>
    <row r="62" spans="1:11" x14ac:dyDescent="0.25">
      <c r="A62" s="1">
        <v>40756</v>
      </c>
      <c r="B62">
        <v>23.079563</v>
      </c>
      <c r="C62">
        <v>46.974716000000001</v>
      </c>
      <c r="D62">
        <v>177.720001</v>
      </c>
      <c r="E62">
        <v>11.209788</v>
      </c>
      <c r="F62">
        <v>55.370144000000003</v>
      </c>
      <c r="G62">
        <v>95.092856999999995</v>
      </c>
      <c r="H62">
        <v>109.647293</v>
      </c>
      <c r="I62">
        <v>51.692534999999999</v>
      </c>
      <c r="J62">
        <v>96.147728000000001</v>
      </c>
      <c r="K62">
        <v>128.770004</v>
      </c>
    </row>
    <row r="63" spans="1:11" x14ac:dyDescent="0.25">
      <c r="A63" s="1">
        <v>40725</v>
      </c>
      <c r="B63">
        <v>24.904416999999999</v>
      </c>
      <c r="C63">
        <v>49.771510999999997</v>
      </c>
      <c r="D63">
        <v>158.28999300000001</v>
      </c>
      <c r="E63">
        <v>11.233390999999999</v>
      </c>
      <c r="F63">
        <v>60.31073</v>
      </c>
      <c r="G63">
        <v>102.078423</v>
      </c>
      <c r="H63">
        <v>116.02589399999999</v>
      </c>
      <c r="I63">
        <v>54.452724000000003</v>
      </c>
      <c r="J63">
        <v>94.707710000000006</v>
      </c>
      <c r="K63">
        <v>128.14999399999999</v>
      </c>
    </row>
    <row r="64" spans="1:11" x14ac:dyDescent="0.25">
      <c r="A64" s="1">
        <v>40695</v>
      </c>
      <c r="B64">
        <v>25.24823</v>
      </c>
      <c r="C64">
        <v>49.005038999999996</v>
      </c>
      <c r="D64">
        <v>146</v>
      </c>
      <c r="E64">
        <v>11.360882999999999</v>
      </c>
      <c r="F64">
        <v>62.384884</v>
      </c>
      <c r="G64">
        <v>105.305443</v>
      </c>
      <c r="H64">
        <v>118.394318</v>
      </c>
      <c r="I64">
        <v>53.560825000000001</v>
      </c>
      <c r="J64">
        <v>93.136825999999999</v>
      </c>
      <c r="K64">
        <v>122.529999</v>
      </c>
    </row>
    <row r="65" spans="1:11" x14ac:dyDescent="0.25">
      <c r="A65" s="1">
        <v>40665</v>
      </c>
      <c r="B65">
        <v>25.565598000000001</v>
      </c>
      <c r="C65">
        <v>50.677005999999999</v>
      </c>
      <c r="D65">
        <v>149.63999899999999</v>
      </c>
      <c r="E65">
        <v>11.290053</v>
      </c>
      <c r="F65">
        <v>63.711272999999998</v>
      </c>
      <c r="G65">
        <v>107.05197099999999</v>
      </c>
      <c r="H65">
        <v>120.42588000000001</v>
      </c>
      <c r="I65">
        <v>54.668118</v>
      </c>
      <c r="J65">
        <v>93.553314</v>
      </c>
      <c r="K65">
        <v>121.05999799999999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2"/>
  <sheetViews>
    <sheetView tabSelected="1" workbookViewId="0">
      <selection activeCell="K22" sqref="K22"/>
    </sheetView>
  </sheetViews>
  <sheetFormatPr defaultRowHeight="15" x14ac:dyDescent="0.25"/>
  <cols>
    <col min="6" max="6" width="10.28515625" bestFit="1" customWidth="1"/>
    <col min="8" max="8" width="10.7109375" bestFit="1" customWidth="1"/>
  </cols>
  <sheetData>
    <row r="1" spans="1:8" x14ac:dyDescent="0.25">
      <c r="A1" s="8" t="s">
        <v>20</v>
      </c>
      <c r="B1" s="9"/>
    </row>
    <row r="2" spans="1:8" x14ac:dyDescent="0.25">
      <c r="A2" s="4" t="s">
        <v>11</v>
      </c>
      <c r="B2" s="6">
        <v>2E-3</v>
      </c>
    </row>
    <row r="11" spans="1:8" x14ac:dyDescent="0.25">
      <c r="A11" s="7" t="s">
        <v>21</v>
      </c>
      <c r="B11" s="7"/>
      <c r="C11" s="7"/>
      <c r="D11" s="7"/>
      <c r="E11" s="7"/>
      <c r="F11" s="7"/>
      <c r="G11" s="7"/>
      <c r="H11" s="7"/>
    </row>
    <row r="12" spans="1:8" x14ac:dyDescent="0.25">
      <c r="A12" s="5" t="s">
        <v>13</v>
      </c>
      <c r="B12" s="5" t="s">
        <v>14</v>
      </c>
      <c r="C12" s="5" t="s">
        <v>15</v>
      </c>
      <c r="D12" s="5" t="s">
        <v>12</v>
      </c>
      <c r="E12" s="5" t="s">
        <v>16</v>
      </c>
      <c r="F12" s="5" t="s">
        <v>17</v>
      </c>
      <c r="G12" s="5" t="s">
        <v>18</v>
      </c>
      <c r="H12" s="5" t="s">
        <v>19</v>
      </c>
    </row>
    <row r="13" spans="1:8" x14ac:dyDescent="0.25">
      <c r="A13" t="s">
        <v>1</v>
      </c>
      <c r="B13">
        <v>-6.5965199314544276E-4</v>
      </c>
      <c r="C13">
        <v>5.5136190148409175E-2</v>
      </c>
      <c r="D13">
        <v>0</v>
      </c>
      <c r="E13" s="2">
        <f t="array" ref="E13">MMULT(TRANSPOSE($D$13:$D$22), $B$13:$B$22)</f>
        <v>4.3682204612097335E-3</v>
      </c>
      <c r="F13">
        <f t="array" ref="F13">SQRT(MMULT(TRANSPOSE($D$13:$D$22), MMULT(Calculations!$A$72:$J$81,Sharpe!$D$13:$D$22)))</f>
        <v>8.7140065597290962E-3</v>
      </c>
      <c r="G13">
        <f>($E$13 - $B$2 / 12) / $F$13</f>
        <v>0.48216096301328537</v>
      </c>
      <c r="H13">
        <f>SUM($D$13:$D$22)</f>
        <v>1.0000000000000002</v>
      </c>
    </row>
    <row r="14" spans="1:8" x14ac:dyDescent="0.25">
      <c r="A14" t="s">
        <v>2</v>
      </c>
      <c r="B14">
        <v>1.0577918300442444E-2</v>
      </c>
      <c r="C14">
        <v>4.6730028113415936E-2</v>
      </c>
      <c r="D14">
        <v>0</v>
      </c>
    </row>
    <row r="15" spans="1:8" x14ac:dyDescent="0.25">
      <c r="A15" t="s">
        <v>3</v>
      </c>
      <c r="B15">
        <v>-8.6877198066552454E-4</v>
      </c>
      <c r="C15">
        <v>5.452735194263468E-2</v>
      </c>
      <c r="D15">
        <v>0</v>
      </c>
    </row>
    <row r="16" spans="1:8" x14ac:dyDescent="0.25">
      <c r="A16" t="s">
        <v>4</v>
      </c>
      <c r="B16">
        <v>2.4062757042728018E-3</v>
      </c>
      <c r="C16">
        <v>4.3754329322476408E-2</v>
      </c>
      <c r="D16">
        <v>0</v>
      </c>
    </row>
    <row r="17" spans="1:4" x14ac:dyDescent="0.25">
      <c r="A17" t="s">
        <v>5</v>
      </c>
      <c r="B17">
        <v>9.4954198845348132E-3</v>
      </c>
      <c r="C17">
        <v>4.3479808274433394E-2</v>
      </c>
      <c r="D17">
        <v>0</v>
      </c>
    </row>
    <row r="18" spans="1:4" x14ac:dyDescent="0.25">
      <c r="A18" t="s">
        <v>6</v>
      </c>
      <c r="B18">
        <v>8.7600439844754269E-3</v>
      </c>
      <c r="C18">
        <v>4.0461632087984235E-2</v>
      </c>
      <c r="D18">
        <v>0</v>
      </c>
    </row>
    <row r="19" spans="1:4" x14ac:dyDescent="0.25">
      <c r="A19" t="s">
        <v>7</v>
      </c>
      <c r="B19">
        <v>9.8871790733325166E-3</v>
      </c>
      <c r="C19">
        <v>3.4523625687500503E-2</v>
      </c>
      <c r="D19">
        <v>7.3252896571039464E-2</v>
      </c>
    </row>
    <row r="20" spans="1:4" x14ac:dyDescent="0.25">
      <c r="A20" t="s">
        <v>8</v>
      </c>
      <c r="B20">
        <v>1.2786697863779093E-2</v>
      </c>
      <c r="C20">
        <v>4.1501694400136763E-2</v>
      </c>
      <c r="D20">
        <v>9.5565792905742297E-2</v>
      </c>
    </row>
    <row r="21" spans="1:4" x14ac:dyDescent="0.25">
      <c r="A21" t="s">
        <v>9</v>
      </c>
      <c r="B21">
        <v>2.9139069953927868E-3</v>
      </c>
      <c r="C21">
        <v>8.2504621269990502E-3</v>
      </c>
      <c r="D21">
        <v>0.83118131052321842</v>
      </c>
    </row>
    <row r="22" spans="1:4" x14ac:dyDescent="0.25">
      <c r="A22" t="s">
        <v>10</v>
      </c>
      <c r="B22">
        <v>-3.5544895930089415E-3</v>
      </c>
      <c r="C22">
        <v>2.7922438686831176E-2</v>
      </c>
      <c r="D22">
        <v>0</v>
      </c>
    </row>
  </sheetData>
  <mergeCells count="2">
    <mergeCell ref="A11:H11"/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arpePortfolioButton">
                <anchor moveWithCells="1" sizeWithCells="1">
                  <from>
                    <xdr:col>2</xdr:col>
                    <xdr:colOff>495300</xdr:colOff>
                    <xdr:row>1</xdr:row>
                    <xdr:rowOff>38100</xdr:rowOff>
                  </from>
                  <to>
                    <xdr:col>4</xdr:col>
                    <xdr:colOff>542925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1"/>
  <sheetViews>
    <sheetView workbookViewId="0">
      <selection activeCell="G19" sqref="G19"/>
    </sheetView>
  </sheetViews>
  <sheetFormatPr defaultRowHeight="15" x14ac:dyDescent="0.25"/>
  <cols>
    <col min="1" max="1" width="9.42578125" bestFit="1" customWidth="1"/>
    <col min="13" max="13" width="17.42578125" bestFit="1" customWidth="1"/>
  </cols>
  <sheetData>
    <row r="1" spans="1:11" x14ac:dyDescent="0.25">
      <c r="B1">
        <v>-6.5965199314544276E-4</v>
      </c>
      <c r="C1">
        <v>1.0577918300442444E-2</v>
      </c>
      <c r="D1">
        <v>-8.6877198066552454E-4</v>
      </c>
      <c r="E1">
        <v>2.4062757042728018E-3</v>
      </c>
      <c r="F1">
        <v>9.4954198845348132E-3</v>
      </c>
      <c r="G1">
        <v>8.7600439844754269E-3</v>
      </c>
      <c r="H1">
        <v>9.8871790733325166E-3</v>
      </c>
      <c r="I1">
        <v>1.2786697863779093E-2</v>
      </c>
      <c r="J1">
        <v>2.9139069953927868E-3</v>
      </c>
      <c r="K1">
        <v>-3.5544895930089415E-3</v>
      </c>
    </row>
    <row r="2" spans="1:11" x14ac:dyDescent="0.25">
      <c r="A2" s="1"/>
      <c r="B2">
        <v>5.5136190148409175E-2</v>
      </c>
      <c r="C2">
        <v>4.6730028113415936E-2</v>
      </c>
      <c r="D2">
        <v>5.452735194263468E-2</v>
      </c>
      <c r="E2">
        <v>4.3754329322476408E-2</v>
      </c>
      <c r="F2">
        <v>4.3479808274433394E-2</v>
      </c>
      <c r="G2">
        <v>4.0461632087984235E-2</v>
      </c>
      <c r="H2">
        <v>3.4523625687500503E-2</v>
      </c>
      <c r="I2">
        <v>4.1501694400136763E-2</v>
      </c>
      <c r="J2">
        <v>8.2504621269990502E-3</v>
      </c>
      <c r="K2">
        <v>2.7922438686831176E-2</v>
      </c>
    </row>
    <row r="3" spans="1:11" x14ac:dyDescent="0.25">
      <c r="A3" s="1"/>
    </row>
    <row r="4" spans="1:11" x14ac:dyDescent="0.25">
      <c r="A4" s="1"/>
    </row>
    <row r="5" spans="1:11" x14ac:dyDescent="0.25">
      <c r="A5" s="1"/>
    </row>
    <row r="6" spans="1:11" x14ac:dyDescent="0.25">
      <c r="A6" s="1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</row>
    <row r="7" spans="1:11" x14ac:dyDescent="0.25">
      <c r="A7" s="3">
        <v>201105</v>
      </c>
      <c r="B7">
        <v>-1.24138696071182E-2</v>
      </c>
      <c r="C7">
        <v>-3.2992616019975655E-2</v>
      </c>
      <c r="D7">
        <v>-2.4325040258787956E-2</v>
      </c>
      <c r="E7">
        <v>6.273664082887747E-3</v>
      </c>
      <c r="F7">
        <v>-2.0818748983402025E-2</v>
      </c>
      <c r="G7">
        <v>-1.631476733856678E-2</v>
      </c>
      <c r="H7">
        <v>-1.6869812369234984E-2</v>
      </c>
      <c r="I7">
        <v>-2.0254822015274031E-2</v>
      </c>
      <c r="J7">
        <v>-4.4518786368166613E-3</v>
      </c>
      <c r="K7">
        <v>1.2142747598591656E-2</v>
      </c>
    </row>
    <row r="8" spans="1:11" x14ac:dyDescent="0.25">
      <c r="A8" s="3">
        <v>201106</v>
      </c>
      <c r="B8">
        <v>-1.3617310995661906E-2</v>
      </c>
      <c r="C8">
        <v>1.564067727810604E-2</v>
      </c>
      <c r="D8">
        <v>8.4178034246575412E-2</v>
      </c>
      <c r="E8">
        <v>-1.1222015049358413E-2</v>
      </c>
      <c r="F8">
        <v>-3.3247701478454302E-2</v>
      </c>
      <c r="G8">
        <v>-3.0644379892120068E-2</v>
      </c>
      <c r="H8">
        <v>-2.0004541096305013E-2</v>
      </c>
      <c r="I8">
        <v>1.6652077334507118E-2</v>
      </c>
      <c r="J8">
        <v>1.6866411144395306E-2</v>
      </c>
      <c r="K8">
        <v>4.5866278020617532E-2</v>
      </c>
    </row>
    <row r="9" spans="1:11" x14ac:dyDescent="0.25">
      <c r="A9" s="3">
        <v>201107</v>
      </c>
      <c r="B9">
        <v>-7.3274311139264914E-2</v>
      </c>
      <c r="C9">
        <v>-5.6192688222786648E-2</v>
      </c>
      <c r="D9">
        <v>0.12274944001039904</v>
      </c>
      <c r="E9">
        <v>-2.1011464837286976E-3</v>
      </c>
      <c r="F9">
        <v>-8.191885589844454E-2</v>
      </c>
      <c r="G9">
        <v>-6.8433326012491455E-2</v>
      </c>
      <c r="H9">
        <v>-5.4975667759129605E-2</v>
      </c>
      <c r="I9">
        <v>-5.0689640430109685E-2</v>
      </c>
      <c r="J9">
        <v>1.5204865580637467E-2</v>
      </c>
      <c r="K9">
        <v>4.8381586346387794E-3</v>
      </c>
    </row>
    <row r="10" spans="1:11" x14ac:dyDescent="0.25">
      <c r="A10" s="3">
        <v>201108</v>
      </c>
      <c r="B10">
        <v>-0.16997704852557222</v>
      </c>
      <c r="C10">
        <v>-0.10841934627130048</v>
      </c>
      <c r="D10">
        <v>-0.11062346888012897</v>
      </c>
      <c r="E10">
        <v>-2.1194602431375113E-2</v>
      </c>
      <c r="F10">
        <v>-0.10643080502012064</v>
      </c>
      <c r="G10">
        <v>-0.10171740870084481</v>
      </c>
      <c r="H10">
        <v>-6.9420646800646593E-2</v>
      </c>
      <c r="I10">
        <v>-4.4908186452840844E-2</v>
      </c>
      <c r="J10">
        <v>7.705829512684911E-3</v>
      </c>
      <c r="K10">
        <v>-7.5328179690046168E-3</v>
      </c>
    </row>
    <row r="11" spans="1:11" x14ac:dyDescent="0.25">
      <c r="A11" s="3">
        <v>201109</v>
      </c>
      <c r="B11">
        <v>0.14496073330884388</v>
      </c>
      <c r="C11">
        <v>0.14291337601286361</v>
      </c>
      <c r="D11">
        <v>5.8711869653446443E-2</v>
      </c>
      <c r="E11">
        <v>6.1679876261836651E-2</v>
      </c>
      <c r="F11">
        <v>0.14429642184644981</v>
      </c>
      <c r="G11">
        <v>0.13345951261350664</v>
      </c>
      <c r="H11">
        <v>0.10914709327606917</v>
      </c>
      <c r="I11">
        <v>0.10401972473095963</v>
      </c>
      <c r="J11">
        <v>1.2648646704929163E-3</v>
      </c>
      <c r="K11">
        <v>-1.3928059140968879E-2</v>
      </c>
    </row>
    <row r="12" spans="1:11" x14ac:dyDescent="0.25">
      <c r="A12" s="3">
        <v>201110</v>
      </c>
      <c r="B12">
        <v>-2.3311810869182457E-2</v>
      </c>
      <c r="C12">
        <v>-3.801172034050037E-2</v>
      </c>
      <c r="D12">
        <v>1.6672696705454668E-2</v>
      </c>
      <c r="E12">
        <v>3.0046446186420333E-3</v>
      </c>
      <c r="F12">
        <v>-1.4150665874881618E-3</v>
      </c>
      <c r="G12">
        <v>-1.1293383985466513E-2</v>
      </c>
      <c r="H12">
        <v>-4.0637121497111902E-3</v>
      </c>
      <c r="I12">
        <v>-2.691977958594333E-2</v>
      </c>
      <c r="J12">
        <v>-3.3077838030972514E-3</v>
      </c>
      <c r="K12">
        <v>7.6178862311827604E-3</v>
      </c>
    </row>
    <row r="13" spans="1:11" x14ac:dyDescent="0.25">
      <c r="A13" s="3">
        <v>201111</v>
      </c>
      <c r="B13">
        <v>-3.4984957432257144E-2</v>
      </c>
      <c r="C13">
        <v>4.8503513585207811E-2</v>
      </c>
      <c r="D13">
        <v>-0.10662434295467171</v>
      </c>
      <c r="E13">
        <v>4.07013337765618E-2</v>
      </c>
      <c r="F13">
        <v>8.2470729735219291E-3</v>
      </c>
      <c r="G13">
        <v>-1.7108218630205448E-2</v>
      </c>
      <c r="H13">
        <v>1.0448274559395286E-2</v>
      </c>
      <c r="I13">
        <v>-6.1418516985275303E-3</v>
      </c>
      <c r="J13">
        <v>1.3567164477796304E-2</v>
      </c>
      <c r="K13">
        <v>7.4814693460041144E-3</v>
      </c>
    </row>
    <row r="14" spans="1:11" x14ac:dyDescent="0.25">
      <c r="A14" s="3">
        <v>201112</v>
      </c>
      <c r="B14">
        <v>0.1001311775036048</v>
      </c>
      <c r="C14">
        <v>6.3793110233244077E-2</v>
      </c>
      <c r="D14">
        <v>0.11395481564725267</v>
      </c>
      <c r="E14">
        <v>1.263536822468069E-2</v>
      </c>
      <c r="F14">
        <v>6.9730324392448306E-2</v>
      </c>
      <c r="G14">
        <v>6.8570794097893573E-2</v>
      </c>
      <c r="H14">
        <v>4.6374586413922794E-2</v>
      </c>
      <c r="I14">
        <v>8.4184032213762375E-2</v>
      </c>
      <c r="J14">
        <v>7.2562528202202584E-3</v>
      </c>
      <c r="K14">
        <v>9.3801688423356868E-3</v>
      </c>
    </row>
    <row r="15" spans="1:11" x14ac:dyDescent="0.25">
      <c r="A15" s="3">
        <v>201201</v>
      </c>
      <c r="B15">
        <v>5.8028630588426479E-2</v>
      </c>
      <c r="C15">
        <v>-1.1507271562473508E-2</v>
      </c>
      <c r="D15">
        <v>-2.9649784769355425E-2</v>
      </c>
      <c r="E15">
        <v>3.0191683547658117E-2</v>
      </c>
      <c r="F15">
        <v>2.5507152514473046E-2</v>
      </c>
      <c r="G15">
        <v>5.0142155395243512E-2</v>
      </c>
      <c r="H15">
        <v>4.3405414597226834E-2</v>
      </c>
      <c r="I15">
        <v>6.4100577023108382E-2</v>
      </c>
      <c r="J15">
        <v>-1.3540232187331082E-4</v>
      </c>
      <c r="K15">
        <v>-6.2727527966873434E-2</v>
      </c>
    </row>
    <row r="16" spans="1:11" x14ac:dyDescent="0.25">
      <c r="A16" s="3">
        <v>201202</v>
      </c>
      <c r="B16">
        <v>-3.1555199094490227E-2</v>
      </c>
      <c r="C16">
        <v>5.2001541299396124E-2</v>
      </c>
      <c r="D16">
        <v>-1.3208339475673486E-2</v>
      </c>
      <c r="E16">
        <v>-2.6331278241224124E-2</v>
      </c>
      <c r="F16">
        <v>2.4131236498469721E-2</v>
      </c>
      <c r="G16">
        <v>1.6467502270146955E-2</v>
      </c>
      <c r="H16">
        <v>3.2163737046425743E-2</v>
      </c>
      <c r="I16">
        <v>5.0530518998098017E-2</v>
      </c>
      <c r="J16">
        <v>-5.7294002240732096E-3</v>
      </c>
      <c r="K16">
        <v>-1.8590432277868562E-2</v>
      </c>
    </row>
    <row r="17" spans="1:11" x14ac:dyDescent="0.25">
      <c r="A17" s="3">
        <v>201203</v>
      </c>
      <c r="B17">
        <v>-2.6764981747335506E-2</v>
      </c>
      <c r="C17">
        <v>2.8593861387158175E-2</v>
      </c>
      <c r="D17">
        <v>-1.4803232630248818E-3</v>
      </c>
      <c r="E17">
        <v>1.0216337200904547E-2</v>
      </c>
      <c r="F17">
        <v>-9.9459542918571443E-3</v>
      </c>
      <c r="G17">
        <v>-1.4230758619187349E-3</v>
      </c>
      <c r="H17">
        <v>-6.6756697747191373E-3</v>
      </c>
      <c r="I17">
        <v>-1.1695038407320113E-2</v>
      </c>
      <c r="J17">
        <v>9.0596292518067556E-3</v>
      </c>
      <c r="K17">
        <v>3.6874937168504242E-2</v>
      </c>
    </row>
    <row r="18" spans="1:11" x14ac:dyDescent="0.25">
      <c r="A18" s="3">
        <v>201204</v>
      </c>
      <c r="B18">
        <v>-0.10920676961325013</v>
      </c>
      <c r="C18">
        <v>-4.5058818768920213E-2</v>
      </c>
      <c r="D18">
        <v>-6.3380341506661192E-2</v>
      </c>
      <c r="E18">
        <v>-5.0365610236686002E-2</v>
      </c>
      <c r="F18">
        <v>-6.3145824914538753E-2</v>
      </c>
      <c r="G18">
        <v>-6.1809736005303199E-2</v>
      </c>
      <c r="H18">
        <v>-6.0055717818230027E-2</v>
      </c>
      <c r="I18">
        <v>-7.0401492721266973E-2</v>
      </c>
      <c r="J18">
        <v>1.0781862433971404E-2</v>
      </c>
      <c r="K18">
        <v>1.8431275789825455E-2</v>
      </c>
    </row>
    <row r="19" spans="1:11" x14ac:dyDescent="0.25">
      <c r="A19" s="3">
        <v>201205</v>
      </c>
      <c r="B19">
        <v>4.7874609712071955E-2</v>
      </c>
      <c r="C19">
        <v>5.5170666849300276E-2</v>
      </c>
      <c r="D19">
        <v>2.3545753315715411E-2</v>
      </c>
      <c r="E19">
        <v>1.589326193515914E-2</v>
      </c>
      <c r="F19">
        <v>4.4730346026404737E-2</v>
      </c>
      <c r="G19">
        <v>6.9548659858635585E-3</v>
      </c>
      <c r="H19">
        <v>4.0581096738641721E-2</v>
      </c>
      <c r="I19">
        <v>3.6214428284632894E-2</v>
      </c>
      <c r="J19">
        <v>-1.9757003937818815E-4</v>
      </c>
      <c r="K19">
        <v>-1.9851694172048153E-2</v>
      </c>
    </row>
    <row r="20" spans="1:11" x14ac:dyDescent="0.25">
      <c r="A20" s="3">
        <v>201206</v>
      </c>
      <c r="B20">
        <v>1.1955648370729958E-2</v>
      </c>
      <c r="C20">
        <v>2.0021359758929422E-2</v>
      </c>
      <c r="D20">
        <v>8.3768476270784757E-3</v>
      </c>
      <c r="E20">
        <v>2.9411772036232055E-2</v>
      </c>
      <c r="F20">
        <v>-4.2520998567083549E-3</v>
      </c>
      <c r="G20">
        <v>1.0391772797621946E-3</v>
      </c>
      <c r="H20">
        <v>1.1829534352694626E-2</v>
      </c>
      <c r="I20">
        <v>9.9750821069837133E-3</v>
      </c>
      <c r="J20">
        <v>1.362111650939471E-2</v>
      </c>
      <c r="K20">
        <v>2.2775304656331409E-2</v>
      </c>
    </row>
    <row r="21" spans="1:11" x14ac:dyDescent="0.25">
      <c r="A21" s="3">
        <v>201207</v>
      </c>
      <c r="B21">
        <v>5.4852235983645307E-3</v>
      </c>
      <c r="C21">
        <v>-1.4977488340909838E-4</v>
      </c>
      <c r="D21">
        <v>4.9396100409096415E-2</v>
      </c>
      <c r="E21">
        <v>8.6811311295639567E-3</v>
      </c>
      <c r="F21">
        <v>2.9892449233921981E-2</v>
      </c>
      <c r="G21">
        <v>4.1898646557728562E-2</v>
      </c>
      <c r="H21">
        <v>2.5052578830835979E-2</v>
      </c>
      <c r="I21">
        <v>5.1851864031191068E-2</v>
      </c>
      <c r="J21">
        <v>1.4787883345448262E-7</v>
      </c>
      <c r="K21">
        <v>-2.6244155022175143E-3</v>
      </c>
    </row>
    <row r="22" spans="1:11" x14ac:dyDescent="0.25">
      <c r="A22" s="3">
        <v>201208</v>
      </c>
      <c r="B22">
        <v>5.0776397227179283E-2</v>
      </c>
      <c r="C22">
        <v>-1.8631973723243905E-2</v>
      </c>
      <c r="D22">
        <v>4.6705626314056552E-2</v>
      </c>
      <c r="E22">
        <v>1.4075839015312057E-2</v>
      </c>
      <c r="F22">
        <v>2.8024061590400728E-2</v>
      </c>
      <c r="G22">
        <v>1.6206996043634084E-2</v>
      </c>
      <c r="H22">
        <v>2.5350952804286016E-2</v>
      </c>
      <c r="I22">
        <v>8.8841240940163539E-3</v>
      </c>
      <c r="J22">
        <v>2.6659197800824922E-3</v>
      </c>
      <c r="K22">
        <v>3.1097917834370143E-3</v>
      </c>
    </row>
    <row r="23" spans="1:11" x14ac:dyDescent="0.25">
      <c r="A23" s="3">
        <v>201209</v>
      </c>
      <c r="B23">
        <v>-1.5974891171661536E-3</v>
      </c>
      <c r="C23">
        <v>-9.0811392714137233E-3</v>
      </c>
      <c r="D23">
        <v>-2.9437413633355027E-2</v>
      </c>
      <c r="E23">
        <v>1.8104844779773916E-3</v>
      </c>
      <c r="F23">
        <v>-6.9541023680075075E-3</v>
      </c>
      <c r="G23">
        <v>-1.1611261008289728E-2</v>
      </c>
      <c r="H23">
        <v>-1.8198274187183314E-2</v>
      </c>
      <c r="I23">
        <v>-5.2792748128367664E-2</v>
      </c>
      <c r="J23">
        <v>-4.7214082053487297E-4</v>
      </c>
      <c r="K23">
        <v>-2.2734506612054665E-2</v>
      </c>
    </row>
    <row r="24" spans="1:11" x14ac:dyDescent="0.25">
      <c r="A24" s="3">
        <v>201210</v>
      </c>
      <c r="B24">
        <v>9.1999278523798647E-3</v>
      </c>
      <c r="C24">
        <v>-2.6405588491352884E-3</v>
      </c>
      <c r="D24">
        <v>-4.6754120400957838E-3</v>
      </c>
      <c r="E24">
        <v>-3.2912107189988853E-4</v>
      </c>
      <c r="F24">
        <v>1.0084044504079577E-2</v>
      </c>
      <c r="G24">
        <v>2.6206321473614843E-2</v>
      </c>
      <c r="H24">
        <v>5.6596847103478924E-3</v>
      </c>
      <c r="I24">
        <v>1.308709170373795E-2</v>
      </c>
      <c r="J24">
        <v>2.7066952830812458E-3</v>
      </c>
      <c r="K24">
        <v>-3.1966812559511809E-2</v>
      </c>
    </row>
    <row r="25" spans="1:11" x14ac:dyDescent="0.25">
      <c r="A25" s="3">
        <v>201211</v>
      </c>
      <c r="B25">
        <v>6.8626374982773117E-2</v>
      </c>
      <c r="C25">
        <v>3.7227378109110969E-2</v>
      </c>
      <c r="D25">
        <v>-2.4269791792777044E-2</v>
      </c>
      <c r="E25">
        <v>-2.3867833646727593E-2</v>
      </c>
      <c r="F25">
        <v>3.3302632137744127E-2</v>
      </c>
      <c r="G25">
        <v>1.1894531948416177E-2</v>
      </c>
      <c r="H25">
        <v>8.9344259646975399E-3</v>
      </c>
      <c r="I25">
        <v>-4.6695875801652832E-3</v>
      </c>
      <c r="J25">
        <v>-2.452243609832999E-3</v>
      </c>
      <c r="K25">
        <v>-5.0247902693086217E-2</v>
      </c>
    </row>
    <row r="26" spans="1:11" x14ac:dyDescent="0.25">
      <c r="A26" s="3">
        <v>201212</v>
      </c>
      <c r="B26">
        <v>2.2736759557126585E-3</v>
      </c>
      <c r="C26">
        <v>3.7386028137826995E-2</v>
      </c>
      <c r="D26">
        <v>-5.0611466470523231E-3</v>
      </c>
      <c r="E26">
        <v>8.4012634061361668E-2</v>
      </c>
      <c r="F26">
        <v>6.4555937782446129E-2</v>
      </c>
      <c r="G26">
        <v>7.044837030480143E-2</v>
      </c>
      <c r="H26">
        <v>5.119027107229867E-2</v>
      </c>
      <c r="I26">
        <v>2.6715882399736272E-2</v>
      </c>
      <c r="J26">
        <v>-6.2117386185533904E-3</v>
      </c>
      <c r="K26">
        <v>-5.175616253876103E-2</v>
      </c>
    </row>
    <row r="27" spans="1:11" x14ac:dyDescent="0.25">
      <c r="A27" s="3">
        <v>201301</v>
      </c>
      <c r="B27">
        <v>-2.0793998522671209E-2</v>
      </c>
      <c r="C27">
        <v>1.2159262096407724E-2</v>
      </c>
      <c r="D27">
        <v>-5.086846868861912E-2</v>
      </c>
      <c r="E27">
        <v>3.0932322199454664E-3</v>
      </c>
      <c r="F27">
        <v>1.616240520595635E-2</v>
      </c>
      <c r="G27">
        <v>2.2862938988357142E-3</v>
      </c>
      <c r="H27">
        <v>1.2758855956050249E-2</v>
      </c>
      <c r="I27">
        <v>3.4394185201385595E-3</v>
      </c>
      <c r="J27">
        <v>5.9085479710777973E-3</v>
      </c>
      <c r="K27">
        <v>-1.3248721776450893E-2</v>
      </c>
    </row>
    <row r="28" spans="1:11" x14ac:dyDescent="0.25">
      <c r="A28" s="3">
        <v>201302</v>
      </c>
      <c r="B28">
        <v>-1.3513545152361264E-2</v>
      </c>
      <c r="C28">
        <v>2.8721637052435984E-2</v>
      </c>
      <c r="D28">
        <v>9.4771045751633736E-3</v>
      </c>
      <c r="E28">
        <v>3.7470670544899186E-2</v>
      </c>
      <c r="F28">
        <v>4.556805291017528E-2</v>
      </c>
      <c r="G28">
        <v>4.5541040797929949E-2</v>
      </c>
      <c r="H28">
        <v>3.7971202242845968E-2</v>
      </c>
      <c r="I28">
        <v>3.0247882195831216E-2</v>
      </c>
      <c r="J28">
        <v>9.8535685670705247E-4</v>
      </c>
      <c r="K28">
        <v>-1.616867405127315E-2</v>
      </c>
    </row>
    <row r="29" spans="1:11" x14ac:dyDescent="0.25">
      <c r="A29" s="3">
        <v>201303</v>
      </c>
      <c r="B29">
        <v>1.5264224094143155E-2</v>
      </c>
      <c r="C29">
        <v>6.7347193797511529E-2</v>
      </c>
      <c r="D29">
        <v>-7.5623135169112343E-2</v>
      </c>
      <c r="E29">
        <v>4.5147109608425417E-3</v>
      </c>
      <c r="F29">
        <v>8.5208831391494588E-4</v>
      </c>
      <c r="G29">
        <v>1.178390215260575E-2</v>
      </c>
      <c r="H29">
        <v>1.9212340453248669E-2</v>
      </c>
      <c r="I29">
        <v>2.5373254165227763E-2</v>
      </c>
      <c r="J29">
        <v>9.6859191672113536E-3</v>
      </c>
      <c r="K29">
        <v>-3.4502680408380261E-2</v>
      </c>
    </row>
    <row r="30" spans="1:11" x14ac:dyDescent="0.25">
      <c r="A30" s="3">
        <v>201304</v>
      </c>
      <c r="B30">
        <v>-4.780256620453549E-2</v>
      </c>
      <c r="C30">
        <v>-5.9776831934934431E-2</v>
      </c>
      <c r="D30">
        <v>-6.1987852854581471E-2</v>
      </c>
      <c r="E30">
        <v>-7.7049335847160496E-3</v>
      </c>
      <c r="F30">
        <v>3.1135953062265815E-2</v>
      </c>
      <c r="G30">
        <v>2.2059438646798102E-2</v>
      </c>
      <c r="H30">
        <v>2.3609754421492633E-2</v>
      </c>
      <c r="I30">
        <v>3.577486675722906E-2</v>
      </c>
      <c r="J30">
        <v>-2.0011161736785989E-2</v>
      </c>
      <c r="K30">
        <v>-2.9862632190549795E-2</v>
      </c>
    </row>
    <row r="31" spans="1:11" x14ac:dyDescent="0.25">
      <c r="A31" s="3">
        <v>201305</v>
      </c>
      <c r="B31">
        <v>-5.4655907362949098E-2</v>
      </c>
      <c r="C31">
        <v>-1.9818858200504139E-2</v>
      </c>
      <c r="D31">
        <v>-0.11058839024176208</v>
      </c>
      <c r="E31">
        <v>2.5862079484166592E-2</v>
      </c>
      <c r="F31">
        <v>-1.2738840788936417E-2</v>
      </c>
      <c r="G31">
        <v>-2.4454434309304399E-2</v>
      </c>
      <c r="H31">
        <v>-1.3344501898932834E-2</v>
      </c>
      <c r="I31">
        <v>-2.3952660861067919E-2</v>
      </c>
      <c r="J31">
        <v>-1.5654471170946149E-2</v>
      </c>
      <c r="K31">
        <v>1.2004904699414237E-2</v>
      </c>
    </row>
    <row r="32" spans="1:11" x14ac:dyDescent="0.25">
      <c r="A32" s="3">
        <v>201306</v>
      </c>
      <c r="B32">
        <v>1.456106160012152E-2</v>
      </c>
      <c r="C32">
        <v>9.0220733254226162E-3</v>
      </c>
      <c r="D32">
        <v>7.4301048826286215E-2</v>
      </c>
      <c r="E32">
        <v>-1.1204874928687912E-3</v>
      </c>
      <c r="F32">
        <v>6.8458833012438658E-2</v>
      </c>
      <c r="G32">
        <v>6.1786820012801155E-2</v>
      </c>
      <c r="H32">
        <v>5.1676874651834036E-2</v>
      </c>
      <c r="I32">
        <v>6.3140229097058576E-2</v>
      </c>
      <c r="J32">
        <v>2.691348304492267E-3</v>
      </c>
      <c r="K32">
        <v>1.3180604679527707E-2</v>
      </c>
    </row>
    <row r="33" spans="1:11" x14ac:dyDescent="0.25">
      <c r="A33" s="3">
        <v>201307</v>
      </c>
      <c r="B33">
        <v>-4.3056194525329841E-2</v>
      </c>
      <c r="C33">
        <v>-6.9800963024709811E-2</v>
      </c>
      <c r="D33">
        <v>5.2047483995369466E-2</v>
      </c>
      <c r="E33">
        <v>-1.3824597840801367E-2</v>
      </c>
      <c r="F33">
        <v>-4.170870199392749E-2</v>
      </c>
      <c r="G33">
        <v>-3.7283413743166773E-2</v>
      </c>
      <c r="H33">
        <v>-2.9992368010418081E-2</v>
      </c>
      <c r="I33">
        <v>-3.9593531672449571E-3</v>
      </c>
      <c r="J33">
        <v>-8.2637390620819082E-3</v>
      </c>
      <c r="K33">
        <v>-3.0021314920444689E-3</v>
      </c>
    </row>
    <row r="34" spans="1:11" x14ac:dyDescent="0.25">
      <c r="A34" s="3">
        <v>201308</v>
      </c>
      <c r="B34">
        <v>8.4693482366194048E-2</v>
      </c>
      <c r="C34">
        <v>3.4818556963646108E-2</v>
      </c>
      <c r="D34">
        <v>-4.783837646108955E-2</v>
      </c>
      <c r="E34">
        <v>1.5588977988492389E-2</v>
      </c>
      <c r="F34">
        <v>5.2975549186996339E-2</v>
      </c>
      <c r="G34">
        <v>5.8808401985436742E-2</v>
      </c>
      <c r="H34">
        <v>3.1646397723597529E-2</v>
      </c>
      <c r="I34">
        <v>4.8321822209945423E-2</v>
      </c>
      <c r="J34">
        <v>1.1206317744066774E-2</v>
      </c>
      <c r="K34">
        <v>-1.6059018851521864E-3</v>
      </c>
    </row>
    <row r="35" spans="1:11" x14ac:dyDescent="0.25">
      <c r="A35" s="3">
        <v>201309</v>
      </c>
      <c r="B35">
        <v>3.9446887866838316E-2</v>
      </c>
      <c r="C35">
        <v>4.520708941784643E-2</v>
      </c>
      <c r="D35">
        <v>-3.4326339836825872E-3</v>
      </c>
      <c r="E35">
        <v>1.5918123973003944E-2</v>
      </c>
      <c r="F35">
        <v>3.9228722330961377E-2</v>
      </c>
      <c r="G35">
        <v>3.1413978768079651E-2</v>
      </c>
      <c r="H35">
        <v>4.6306771271982398E-2</v>
      </c>
      <c r="I35">
        <v>4.9568999808618494E-2</v>
      </c>
      <c r="J35">
        <v>8.3263950471067685E-3</v>
      </c>
      <c r="K35">
        <v>-9.0483561973617871E-4</v>
      </c>
    </row>
    <row r="36" spans="1:11" x14ac:dyDescent="0.25">
      <c r="A36" s="3">
        <v>201310</v>
      </c>
      <c r="B36">
        <v>-8.6071764386652112E-3</v>
      </c>
      <c r="C36">
        <v>-5.2509726766765061E-2</v>
      </c>
      <c r="D36">
        <v>-5.5111954831876572E-2</v>
      </c>
      <c r="E36">
        <v>4.7388937684441712E-3</v>
      </c>
      <c r="F36">
        <v>2.9323951188141489E-2</v>
      </c>
      <c r="G36">
        <v>1.5960393697464298E-2</v>
      </c>
      <c r="H36">
        <v>2.9637639137313588E-2</v>
      </c>
      <c r="I36">
        <v>3.5511628821572924E-2</v>
      </c>
      <c r="J36">
        <v>-2.5067151067828097E-3</v>
      </c>
      <c r="K36">
        <v>-4.0652053954076929E-2</v>
      </c>
    </row>
    <row r="37" spans="1:11" x14ac:dyDescent="0.25">
      <c r="A37" s="3">
        <v>201311</v>
      </c>
      <c r="B37">
        <v>-3.4823503993515947E-3</v>
      </c>
      <c r="C37">
        <v>1.0186614884177103E-3</v>
      </c>
      <c r="D37">
        <v>-3.794527020576479E-2</v>
      </c>
      <c r="E37">
        <v>6.2217390270671675E-3</v>
      </c>
      <c r="F37">
        <v>2.7489120119291166E-2</v>
      </c>
      <c r="G37">
        <v>3.2953503571996917E-2</v>
      </c>
      <c r="H37">
        <v>2.5926482991286474E-2</v>
      </c>
      <c r="I37">
        <v>2.9270924552669438E-2</v>
      </c>
      <c r="J37">
        <v>-5.5674689927899647E-3</v>
      </c>
      <c r="K37">
        <v>-2.7060982884874459E-2</v>
      </c>
    </row>
    <row r="38" spans="1:11" x14ac:dyDescent="0.25">
      <c r="A38" s="3">
        <v>201312</v>
      </c>
      <c r="B38">
        <v>-8.9024399029431614E-2</v>
      </c>
      <c r="C38">
        <v>4.2750949809891713E-2</v>
      </c>
      <c r="D38">
        <v>3.4188709071941742E-2</v>
      </c>
      <c r="E38">
        <v>5.6202245284459312E-4</v>
      </c>
      <c r="F38">
        <v>-2.7832006303471421E-2</v>
      </c>
      <c r="G38">
        <v>-2.583395052985028E-2</v>
      </c>
      <c r="H38">
        <v>-3.5248309496392675E-2</v>
      </c>
      <c r="I38">
        <v>-1.9213313313036832E-2</v>
      </c>
      <c r="J38">
        <v>1.5409205515686414E-2</v>
      </c>
      <c r="K38">
        <v>3.0401034273371329E-2</v>
      </c>
    </row>
    <row r="39" spans="1:11" x14ac:dyDescent="0.25">
      <c r="A39" s="3">
        <v>201401</v>
      </c>
      <c r="B39">
        <v>3.4805991366933617E-2</v>
      </c>
      <c r="C39">
        <v>5.0653640484224056E-2</v>
      </c>
      <c r="D39">
        <v>6.2703033148572992E-2</v>
      </c>
      <c r="E39">
        <v>-6.293851441015341E-3</v>
      </c>
      <c r="F39">
        <v>4.9651363002768928E-2</v>
      </c>
      <c r="G39">
        <v>5.4336690381676662E-2</v>
      </c>
      <c r="H39">
        <v>4.551578162594918E-2</v>
      </c>
      <c r="I39">
        <v>5.15243854644164E-2</v>
      </c>
      <c r="J39">
        <v>3.7639248471466576E-3</v>
      </c>
      <c r="K39">
        <v>3.5571876217371655E-3</v>
      </c>
    </row>
    <row r="40" spans="1:11" x14ac:dyDescent="0.25">
      <c r="A40" s="3">
        <v>201402</v>
      </c>
      <c r="B40">
        <v>4.915900991274514E-2</v>
      </c>
      <c r="C40">
        <v>4.9688916238738038E-3</v>
      </c>
      <c r="D40">
        <v>-3.1421422235823018E-2</v>
      </c>
      <c r="E40">
        <v>1.4359525038153999E-2</v>
      </c>
      <c r="F40">
        <v>1.3125554803471037E-2</v>
      </c>
      <c r="G40">
        <v>-6.6503178754789456E-3</v>
      </c>
      <c r="H40">
        <v>8.2955559755339362E-3</v>
      </c>
      <c r="I40">
        <v>-2.733587012127783E-2</v>
      </c>
      <c r="J40">
        <v>-1.4803944304685353E-3</v>
      </c>
      <c r="K40">
        <v>-1.4491232579049919E-2</v>
      </c>
    </row>
    <row r="41" spans="1:11" x14ac:dyDescent="0.25">
      <c r="A41" s="3">
        <v>201403</v>
      </c>
      <c r="B41">
        <v>7.8093589431804241E-3</v>
      </c>
      <c r="C41">
        <v>3.2851813863674612E-2</v>
      </c>
      <c r="D41">
        <v>4.9348757791855321E-3</v>
      </c>
      <c r="E41">
        <v>2.54814220089493E-2</v>
      </c>
      <c r="F41">
        <v>-1.1327429675592587E-2</v>
      </c>
      <c r="G41">
        <v>-2.7792381055605574E-2</v>
      </c>
      <c r="H41">
        <v>6.9515489770522812E-3</v>
      </c>
      <c r="I41">
        <v>-3.1937672643688486E-3</v>
      </c>
      <c r="J41">
        <v>8.2167720365785273E-3</v>
      </c>
      <c r="K41">
        <v>9.6266054123199888E-3</v>
      </c>
    </row>
    <row r="42" spans="1:11" x14ac:dyDescent="0.25">
      <c r="A42" s="3">
        <v>201404</v>
      </c>
      <c r="B42">
        <v>2.4877573275773831E-2</v>
      </c>
      <c r="C42">
        <v>2.3992373612357384E-2</v>
      </c>
      <c r="D42">
        <v>-3.0510392605776825E-2</v>
      </c>
      <c r="E42">
        <v>2.2685256995864662E-2</v>
      </c>
      <c r="F42">
        <v>1.6381848594542395E-2</v>
      </c>
      <c r="G42">
        <v>1.8968292837694575E-2</v>
      </c>
      <c r="H42">
        <v>2.3206383515592354E-2</v>
      </c>
      <c r="I42">
        <v>4.4856424540680943E-2</v>
      </c>
      <c r="J42">
        <v>1.179058881555249E-2</v>
      </c>
      <c r="K42">
        <v>3.6672149273424869E-3</v>
      </c>
    </row>
    <row r="43" spans="1:11" x14ac:dyDescent="0.25">
      <c r="A43" s="3">
        <v>201405</v>
      </c>
      <c r="B43">
        <v>3.5813824530016171E-2</v>
      </c>
      <c r="C43">
        <v>1.134141598165808E-2</v>
      </c>
      <c r="D43">
        <v>6.3190176866229367E-2</v>
      </c>
      <c r="E43">
        <v>4.1666674713694701E-2</v>
      </c>
      <c r="F43">
        <v>4.3211706014127792E-2</v>
      </c>
      <c r="G43">
        <v>3.8853418067482437E-2</v>
      </c>
      <c r="H43">
        <v>2.06448511000333E-2</v>
      </c>
      <c r="I43">
        <v>3.1238243230626867E-2</v>
      </c>
      <c r="J43">
        <v>-5.7554006614611412E-4</v>
      </c>
      <c r="K43">
        <v>4.8021609270052753E-3</v>
      </c>
    </row>
    <row r="44" spans="1:11" x14ac:dyDescent="0.25">
      <c r="A44" s="3">
        <v>201406</v>
      </c>
      <c r="B44">
        <v>1.5751066795512261E-2</v>
      </c>
      <c r="C44">
        <v>8.0178164085033601E-4</v>
      </c>
      <c r="D44">
        <v>-3.6316731132592345E-2</v>
      </c>
      <c r="E44">
        <v>-2.7368465159154632E-2</v>
      </c>
      <c r="F44">
        <v>-4.7867268122712386E-2</v>
      </c>
      <c r="G44">
        <v>-4.2462482545236914E-2</v>
      </c>
      <c r="H44">
        <v>-1.3437579046262232E-2</v>
      </c>
      <c r="I44">
        <v>1.181973832835323E-2</v>
      </c>
      <c r="J44">
        <v>-2.5090998430744157E-3</v>
      </c>
      <c r="K44">
        <v>-1.6000010389610429E-2</v>
      </c>
    </row>
    <row r="45" spans="1:11" x14ac:dyDescent="0.25">
      <c r="A45" s="3">
        <v>201407</v>
      </c>
      <c r="B45">
        <v>3.7821433047077739E-2</v>
      </c>
      <c r="C45">
        <v>3.0440489790311047E-2</v>
      </c>
      <c r="D45">
        <v>3.8090769414788131E-3</v>
      </c>
      <c r="E45">
        <v>6.1267213429850871E-2</v>
      </c>
      <c r="F45">
        <v>5.1169682078305558E-2</v>
      </c>
      <c r="G45">
        <v>4.9331790557325839E-2</v>
      </c>
      <c r="H45">
        <v>3.9463497779472445E-2</v>
      </c>
      <c r="I45">
        <v>5.0094673311649587E-2</v>
      </c>
      <c r="J45">
        <v>1.1496419403909768E-2</v>
      </c>
      <c r="K45">
        <v>-1.1614380863840991E-2</v>
      </c>
    </row>
    <row r="46" spans="1:11" x14ac:dyDescent="0.25">
      <c r="A46" s="3">
        <v>201408</v>
      </c>
      <c r="B46">
        <v>-7.4344023267574944E-2</v>
      </c>
      <c r="C46">
        <v>-6.040562750586953E-2</v>
      </c>
      <c r="D46">
        <v>-6.1763296772458454E-2</v>
      </c>
      <c r="E46">
        <v>-7.250137900144631E-3</v>
      </c>
      <c r="F46">
        <v>-5.5402942651921909E-2</v>
      </c>
      <c r="G46">
        <v>-3.8267819327759418E-2</v>
      </c>
      <c r="H46">
        <v>-1.3796259131462325E-2</v>
      </c>
      <c r="I46">
        <v>-7.5663966697689412E-3</v>
      </c>
      <c r="J46">
        <v>-6.1484156943440787E-3</v>
      </c>
      <c r="K46">
        <v>-5.1383377295338276E-2</v>
      </c>
    </row>
    <row r="47" spans="1:11" x14ac:dyDescent="0.25">
      <c r="A47" s="3">
        <v>201409</v>
      </c>
      <c r="B47">
        <v>2.086616024143878E-2</v>
      </c>
      <c r="C47">
        <v>9.9373691363227823E-2</v>
      </c>
      <c r="D47">
        <v>-3.0548102835798112E-2</v>
      </c>
      <c r="E47">
        <v>-3.077724911374078E-2</v>
      </c>
      <c r="F47">
        <v>4.8526232496100892E-2</v>
      </c>
      <c r="G47">
        <v>3.1231430856245995E-2</v>
      </c>
      <c r="H47">
        <v>2.3550895592602834E-2</v>
      </c>
      <c r="I47">
        <v>2.6419709359099382E-2</v>
      </c>
      <c r="J47">
        <v>1.0640770175487334E-2</v>
      </c>
      <c r="K47">
        <v>-2.421172215500942E-2</v>
      </c>
    </row>
    <row r="48" spans="1:11" x14ac:dyDescent="0.25">
      <c r="A48" s="3">
        <v>201410</v>
      </c>
      <c r="B48">
        <v>-8.8699940579489468E-3</v>
      </c>
      <c r="C48">
        <v>2.0002496294108954E-2</v>
      </c>
      <c r="D48">
        <v>-4.8819721327189357E-3</v>
      </c>
      <c r="E48">
        <v>-1.0357674764022093E-2</v>
      </c>
      <c r="F48">
        <v>1.0996309630747743E-2</v>
      </c>
      <c r="G48">
        <v>2.4715113846130333E-2</v>
      </c>
      <c r="H48">
        <v>2.7471962379556729E-2</v>
      </c>
      <c r="I48">
        <v>4.5463548685663928E-2</v>
      </c>
      <c r="J48">
        <v>6.570243655989582E-3</v>
      </c>
      <c r="K48">
        <v>-5.3548758140824979E-2</v>
      </c>
    </row>
    <row r="49" spans="1:11" x14ac:dyDescent="0.25">
      <c r="A49" s="3">
        <v>201411</v>
      </c>
      <c r="B49">
        <v>-4.3001091791647024E-2</v>
      </c>
      <c r="C49">
        <v>1.9039294849399879E-2</v>
      </c>
      <c r="D49">
        <v>1.3112130825866252E-2</v>
      </c>
      <c r="E49">
        <v>-3.2044157765371992E-2</v>
      </c>
      <c r="F49">
        <v>1.7997479632791934E-2</v>
      </c>
      <c r="G49">
        <v>8.1328935983161408E-4</v>
      </c>
      <c r="H49">
        <v>-2.5365935449635523E-3</v>
      </c>
      <c r="I49">
        <v>-2.2406240029162323E-2</v>
      </c>
      <c r="J49">
        <v>1.4761387522652576E-3</v>
      </c>
      <c r="K49">
        <v>-9.7549442810646904E-3</v>
      </c>
    </row>
    <row r="50" spans="1:11" x14ac:dyDescent="0.25">
      <c r="A50" s="3">
        <v>201412</v>
      </c>
      <c r="B50">
        <v>0</v>
      </c>
      <c r="C50">
        <v>6.8518558700903689E-2</v>
      </c>
      <c r="D50">
        <v>8.6899056402552299E-2</v>
      </c>
      <c r="E50">
        <v>-2.3972600070257512E-2</v>
      </c>
      <c r="F50">
        <v>-3.2996111817963032E-2</v>
      </c>
      <c r="G50">
        <v>7.3903241193294797E-3</v>
      </c>
      <c r="H50">
        <v>-2.9629240009291596E-2</v>
      </c>
      <c r="I50">
        <v>-2.0823256741222193E-2</v>
      </c>
      <c r="J50">
        <v>2.0522987476974869E-2</v>
      </c>
      <c r="K50">
        <v>1.9701995070828617E-2</v>
      </c>
    </row>
    <row r="51" spans="1:11" x14ac:dyDescent="0.25">
      <c r="A51" s="3">
        <v>201501</v>
      </c>
      <c r="B51">
        <v>4.2259466017793575E-2</v>
      </c>
      <c r="C51">
        <v>-3.6741763692555739E-2</v>
      </c>
      <c r="D51">
        <v>-5.9052192605561549E-2</v>
      </c>
      <c r="E51">
        <v>1.4778981468522153E-2</v>
      </c>
      <c r="F51">
        <v>5.6609296170355546E-2</v>
      </c>
      <c r="G51">
        <v>4.4202640986934182E-2</v>
      </c>
      <c r="H51">
        <v>5.6204627617622897E-2</v>
      </c>
      <c r="I51">
        <v>7.2205770689511103E-2</v>
      </c>
      <c r="J51">
        <v>-8.947957663852155E-3</v>
      </c>
      <c r="K51">
        <v>-1.8476017835430809E-2</v>
      </c>
    </row>
    <row r="52" spans="1:11" x14ac:dyDescent="0.25">
      <c r="A52" s="3">
        <v>201502</v>
      </c>
      <c r="B52">
        <v>-2.2079460775222087E-2</v>
      </c>
      <c r="C52">
        <v>1.731898867871607E-2</v>
      </c>
      <c r="D52">
        <v>-2.1522037826376107E-2</v>
      </c>
      <c r="E52">
        <v>-2.8722183848734529E-2</v>
      </c>
      <c r="F52">
        <v>1.3007707114930574E-2</v>
      </c>
      <c r="G52">
        <v>2.3665968380064049E-2</v>
      </c>
      <c r="H52">
        <v>-1.5705719945143533E-2</v>
      </c>
      <c r="I52">
        <v>-2.3589846640279404E-2</v>
      </c>
      <c r="J52">
        <v>3.7472472440762193E-3</v>
      </c>
      <c r="K52">
        <v>-3.1988435432928593E-3</v>
      </c>
    </row>
    <row r="53" spans="1:11" x14ac:dyDescent="0.25">
      <c r="A53" s="3">
        <v>201503</v>
      </c>
      <c r="B53">
        <v>7.3481048592002926E-2</v>
      </c>
      <c r="C53">
        <v>-5.847468967420362E-2</v>
      </c>
      <c r="D53">
        <v>-1.6716786320014943E-3</v>
      </c>
      <c r="E53">
        <v>3.8020651936556217E-2</v>
      </c>
      <c r="F53">
        <v>-1.2979913850108465E-2</v>
      </c>
      <c r="G53">
        <v>-2.5537846899644615E-2</v>
      </c>
      <c r="H53">
        <v>9.8339066691490572E-3</v>
      </c>
      <c r="I53">
        <v>1.9223511120768946E-2</v>
      </c>
      <c r="J53">
        <v>-3.2277837637363768E-3</v>
      </c>
      <c r="K53">
        <v>4.4433474861767693E-3</v>
      </c>
    </row>
    <row r="54" spans="1:11" x14ac:dyDescent="0.25">
      <c r="A54" s="3">
        <v>201504</v>
      </c>
      <c r="B54">
        <v>-3.479922927536825E-2</v>
      </c>
      <c r="C54">
        <v>-3.0233981401929459E-3</v>
      </c>
      <c r="D54">
        <v>5.5521018282180421E-3</v>
      </c>
      <c r="E54">
        <v>-2.0668414067692757E-2</v>
      </c>
      <c r="F54">
        <v>1.3706198405908705E-2</v>
      </c>
      <c r="G54">
        <v>2.5309612789171057E-2</v>
      </c>
      <c r="H54">
        <v>1.2856178188148503E-2</v>
      </c>
      <c r="I54">
        <v>2.2484475293299621E-2</v>
      </c>
      <c r="J54">
        <v>-4.3740675649907726E-3</v>
      </c>
      <c r="K54">
        <v>-3.8461503015292602E-2</v>
      </c>
    </row>
    <row r="55" spans="1:11" x14ac:dyDescent="0.25">
      <c r="A55" s="3">
        <v>201505</v>
      </c>
      <c r="B55">
        <v>-2.6148948777713243E-2</v>
      </c>
      <c r="C55">
        <v>-4.6686273854438617E-2</v>
      </c>
      <c r="D55">
        <v>-1.5162094919581001E-2</v>
      </c>
      <c r="E55">
        <v>-5.9818632668384483E-2</v>
      </c>
      <c r="F55">
        <v>-1.5074027645734884E-2</v>
      </c>
      <c r="G55">
        <v>-8.744954524753339E-3</v>
      </c>
      <c r="H55">
        <v>-2.0312126535099059E-2</v>
      </c>
      <c r="I55">
        <v>-2.4840938759296525E-2</v>
      </c>
      <c r="J55">
        <v>-1.0767168241432316E-2</v>
      </c>
      <c r="K55">
        <v>1.4057482428115008E-2</v>
      </c>
    </row>
    <row r="56" spans="1:11" x14ac:dyDescent="0.25">
      <c r="A56" s="3">
        <v>201506</v>
      </c>
      <c r="B56">
        <v>-6.5907323507201757E-2</v>
      </c>
      <c r="C56">
        <v>5.770511825036017E-2</v>
      </c>
      <c r="D56">
        <v>-6.6209867414526904E-2</v>
      </c>
      <c r="E56">
        <v>-9.6401801504823765E-3</v>
      </c>
      <c r="F56">
        <v>-9.4610484787515502E-3</v>
      </c>
      <c r="G56">
        <v>2.2300867412225728E-2</v>
      </c>
      <c r="H56">
        <v>2.2589262913710158E-2</v>
      </c>
      <c r="I56">
        <v>4.5577585601785875E-2</v>
      </c>
      <c r="J56">
        <v>8.6216479743694112E-3</v>
      </c>
      <c r="K56">
        <v>-1.2980441410975287E-2</v>
      </c>
    </row>
    <row r="57" spans="1:11" x14ac:dyDescent="0.25">
      <c r="A57" s="3">
        <v>201507</v>
      </c>
      <c r="B57">
        <v>-9.0156713376606121E-2</v>
      </c>
      <c r="C57">
        <v>-6.2911440296420429E-2</v>
      </c>
      <c r="D57">
        <v>3.7072333936910187E-2</v>
      </c>
      <c r="E57">
        <v>-4.3598167462515332E-2</v>
      </c>
      <c r="F57">
        <v>-4.8412752532900699E-2</v>
      </c>
      <c r="G57">
        <v>-6.5731796732703837E-2</v>
      </c>
      <c r="H57">
        <v>-6.0950162237075695E-2</v>
      </c>
      <c r="I57">
        <v>-6.8244702441233263E-2</v>
      </c>
      <c r="J57">
        <v>-3.3581002280245178E-3</v>
      </c>
      <c r="K57">
        <v>2.196119765066408E-2</v>
      </c>
    </row>
    <row r="58" spans="1:11" x14ac:dyDescent="0.25">
      <c r="A58" s="3">
        <v>201508</v>
      </c>
      <c r="B58">
        <v>-3.2072771882475634E-2</v>
      </c>
      <c r="C58">
        <v>3.0595957358828842E-2</v>
      </c>
      <c r="D58">
        <v>-1.801138577467374E-2</v>
      </c>
      <c r="E58">
        <v>-0.13573402594705816</v>
      </c>
      <c r="F58">
        <v>-3.5865249956481909E-2</v>
      </c>
      <c r="G58">
        <v>-2.7094285739243065E-2</v>
      </c>
      <c r="H58">
        <v>-2.5515913916782273E-2</v>
      </c>
      <c r="I58">
        <v>-2.2072988253947341E-2</v>
      </c>
      <c r="J58">
        <v>8.1142743359308867E-3</v>
      </c>
      <c r="K58">
        <v>9.8700773379549241E-3</v>
      </c>
    </row>
    <row r="59" spans="1:11" x14ac:dyDescent="0.25">
      <c r="A59" s="3">
        <v>201509</v>
      </c>
      <c r="B59">
        <v>5.4401521063442461E-2</v>
      </c>
      <c r="C59">
        <v>5.758535024793221E-2</v>
      </c>
      <c r="D59">
        <v>2.2833632576889147E-2</v>
      </c>
      <c r="E59">
        <v>8.8942313708558193E-2</v>
      </c>
      <c r="F59">
        <v>6.6288046937418896E-2</v>
      </c>
      <c r="G59">
        <v>5.130811950887211E-2</v>
      </c>
      <c r="H59">
        <v>8.5059667314369189E-2</v>
      </c>
      <c r="I59">
        <v>0.11369894617559059</v>
      </c>
      <c r="J59">
        <v>6.856167083773339E-4</v>
      </c>
      <c r="K59">
        <v>-5.9384385515664582E-3</v>
      </c>
    </row>
    <row r="60" spans="1:11" x14ac:dyDescent="0.25">
      <c r="A60" s="3">
        <v>201510</v>
      </c>
      <c r="B60">
        <v>-2.5328267195878412E-2</v>
      </c>
      <c r="C60">
        <v>-6.2585564265669018E-3</v>
      </c>
      <c r="D60">
        <v>-6.7520629436762195E-2</v>
      </c>
      <c r="E60">
        <v>-9.7866109781420005E-2</v>
      </c>
      <c r="F60">
        <v>1.31693511890787E-2</v>
      </c>
      <c r="G60">
        <v>1.2291863074754297E-2</v>
      </c>
      <c r="H60">
        <v>3.6551141024663194E-3</v>
      </c>
      <c r="I60">
        <v>6.0883603401464936E-3</v>
      </c>
      <c r="J60">
        <v>-3.8906847172799921E-3</v>
      </c>
      <c r="K60">
        <v>-2.0037337150898241E-2</v>
      </c>
    </row>
    <row r="61" spans="1:11" x14ac:dyDescent="0.25">
      <c r="A61" s="3">
        <v>201511</v>
      </c>
      <c r="B61">
        <v>-3.7562300698687288E-2</v>
      </c>
      <c r="C61">
        <v>1.8309897575740832E-2</v>
      </c>
      <c r="D61">
        <v>-4.5133340760074433E-3</v>
      </c>
      <c r="E61">
        <v>-1.7128871307029926E-2</v>
      </c>
      <c r="F61">
        <v>-4.8887936576711193E-2</v>
      </c>
      <c r="G61">
        <v>-3.3742957944232939E-2</v>
      </c>
      <c r="H61">
        <v>-1.7282464188531885E-2</v>
      </c>
      <c r="I61">
        <v>-1.5947673756682691E-2</v>
      </c>
      <c r="J61">
        <v>-1.9170724457317292E-3</v>
      </c>
      <c r="K61">
        <v>2.4003035915748983E-2</v>
      </c>
    </row>
    <row r="62" spans="1:11" x14ac:dyDescent="0.25">
      <c r="A62" s="3">
        <v>201512</v>
      </c>
      <c r="B62">
        <v>-5.4331060994361927E-2</v>
      </c>
      <c r="C62">
        <v>-3.4366045566293427E-2</v>
      </c>
      <c r="D62">
        <v>5.4109974907450967E-2</v>
      </c>
      <c r="E62">
        <v>-0.13692951213303428</v>
      </c>
      <c r="F62">
        <v>-6.3683265411297305E-2</v>
      </c>
      <c r="G62">
        <v>-5.7840511054050678E-2</v>
      </c>
      <c r="H62">
        <v>-4.9786664175339529E-2</v>
      </c>
      <c r="I62">
        <v>-6.9104260460397818E-2</v>
      </c>
      <c r="J62">
        <v>1.2406225290017272E-2</v>
      </c>
      <c r="K62">
        <v>-7.6893838902164779E-3</v>
      </c>
    </row>
    <row r="63" spans="1:11" x14ac:dyDescent="0.25">
      <c r="A63" s="3">
        <v>201601</v>
      </c>
      <c r="B63">
        <v>-3.2521407451414652E-3</v>
      </c>
      <c r="C63">
        <v>-3.636865749545453E-3</v>
      </c>
      <c r="D63">
        <v>0.10930343457606649</v>
      </c>
      <c r="E63">
        <v>7.7924566111968298E-3</v>
      </c>
      <c r="F63">
        <v>1.5030300879710475E-2</v>
      </c>
      <c r="G63">
        <v>5.7369011486690727E-3</v>
      </c>
      <c r="H63">
        <v>-8.259469697824189E-4</v>
      </c>
      <c r="I63">
        <v>-1.5653459864094013E-2</v>
      </c>
      <c r="J63">
        <v>8.8707703212577219E-3</v>
      </c>
      <c r="K63">
        <v>7.3365764945237763E-2</v>
      </c>
    </row>
    <row r="64" spans="1:11" x14ac:dyDescent="0.25">
      <c r="A64" s="3">
        <v>201602</v>
      </c>
      <c r="B64">
        <v>0.12941822345939225</v>
      </c>
      <c r="C64">
        <v>0.10465410632806969</v>
      </c>
      <c r="D64">
        <v>-8.428860489117165E-3</v>
      </c>
      <c r="E64">
        <v>7.9051414674519122E-2</v>
      </c>
      <c r="F64">
        <v>8.9358851615374046E-2</v>
      </c>
      <c r="G64">
        <v>6.8755525579261553E-2</v>
      </c>
      <c r="H64">
        <v>6.7266118802160643E-2</v>
      </c>
      <c r="I64">
        <v>6.8526031903780399E-2</v>
      </c>
      <c r="J64">
        <v>8.7468241873783752E-3</v>
      </c>
      <c r="K64">
        <v>1.6301817057585665E-3</v>
      </c>
    </row>
    <row r="65" spans="1:11" x14ac:dyDescent="0.25">
      <c r="A65" s="3">
        <v>201603</v>
      </c>
      <c r="B65">
        <v>1.0592200288878134E-2</v>
      </c>
      <c r="C65">
        <v>-2.3508283924649181E-2</v>
      </c>
      <c r="D65">
        <v>5.1088091219721937E-2</v>
      </c>
      <c r="E65">
        <v>0.11813188644598299</v>
      </c>
      <c r="F65">
        <v>2.1005068470965203E-2</v>
      </c>
      <c r="G65">
        <v>6.0266860818839396E-3</v>
      </c>
      <c r="H65">
        <v>3.9412148562599485E-3</v>
      </c>
      <c r="I65">
        <v>-3.1868126335073632E-2</v>
      </c>
      <c r="J65">
        <v>2.5494951587249392E-3</v>
      </c>
      <c r="K65">
        <v>5.7079785761908398E-2</v>
      </c>
    </row>
    <row r="66" spans="1:11" x14ac:dyDescent="0.25">
      <c r="A66" s="3">
        <v>201604</v>
      </c>
      <c r="B66">
        <v>-3.3825583611243444E-2</v>
      </c>
      <c r="C66">
        <v>2.2485536090179302E-2</v>
      </c>
      <c r="D66">
        <v>-6.1382967062143738E-2</v>
      </c>
      <c r="E66">
        <v>2.0600863779158103E-2</v>
      </c>
      <c r="F66">
        <v>1.4035872892512452E-2</v>
      </c>
      <c r="G66">
        <v>3.337613710058128E-2</v>
      </c>
      <c r="H66">
        <v>1.7011499302375478E-2</v>
      </c>
      <c r="I66">
        <v>4.3700285309379354E-2</v>
      </c>
      <c r="J66">
        <v>1.3553366737181546E-4</v>
      </c>
      <c r="K66">
        <v>-3.9260958979434837E-2</v>
      </c>
    </row>
    <row r="67" spans="1:11" x14ac:dyDescent="0.25">
      <c r="A67" s="3">
        <v>201605</v>
      </c>
      <c r="B67">
        <v>4.980275888546562E-2</v>
      </c>
      <c r="C67">
        <v>6.9284390241231078E-2</v>
      </c>
      <c r="D67">
        <v>8.9695012746769165E-2</v>
      </c>
      <c r="E67">
        <v>4.1768986612353544E-2</v>
      </c>
      <c r="F67">
        <v>1.4414558209188398E-3</v>
      </c>
      <c r="G67">
        <v>2.7754600756471925E-3</v>
      </c>
      <c r="H67">
        <v>3.4758593051011743E-3</v>
      </c>
      <c r="I67">
        <v>-2.2780137328093589E-2</v>
      </c>
      <c r="J67">
        <v>1.935163414793371E-2</v>
      </c>
      <c r="K67">
        <v>7.1199644331505857E-2</v>
      </c>
    </row>
    <row r="68" spans="1:11" x14ac:dyDescent="0.25">
      <c r="A68" s="3">
        <v>201606</v>
      </c>
      <c r="B68">
        <v>5.119764907479344E-2</v>
      </c>
      <c r="C68">
        <v>4.2629981094870942E-2</v>
      </c>
      <c r="D68">
        <v>1.9846564245698105E-2</v>
      </c>
      <c r="E68">
        <v>8.6478396141932302E-3</v>
      </c>
      <c r="F68">
        <v>4.6434345815069916E-2</v>
      </c>
      <c r="G68">
        <v>4.4704609303090941E-2</v>
      </c>
      <c r="H68">
        <v>3.6471301369252092E-2</v>
      </c>
      <c r="I68">
        <v>7.1508299894734104E-2</v>
      </c>
      <c r="J68">
        <v>5.4443957153073328E-3</v>
      </c>
      <c r="K68">
        <v>1.207519743374234E-2</v>
      </c>
    </row>
    <row r="69" spans="1:11" x14ac:dyDescent="0.25">
      <c r="A69" s="3">
        <v>201607</v>
      </c>
      <c r="B69">
        <v>-3.5746203563280696E-3</v>
      </c>
      <c r="C69">
        <v>2.1633749254400827E-3</v>
      </c>
      <c r="D69">
        <v>1.8607924286181282E-3</v>
      </c>
      <c r="E69">
        <v>-1.7926738797406437E-2</v>
      </c>
      <c r="F69">
        <v>-4.2649184643752357E-3</v>
      </c>
      <c r="G69">
        <v>1.6980917687572708E-3</v>
      </c>
      <c r="H69">
        <v>-8.2902392231609201E-4</v>
      </c>
      <c r="I69">
        <v>5.293686145634518E-3</v>
      </c>
      <c r="J69">
        <v>-2.3312203520219131E-3</v>
      </c>
      <c r="K69">
        <v>-3.0619892626119606E-3</v>
      </c>
    </row>
    <row r="72" spans="1:11" x14ac:dyDescent="0.25">
      <c r="A72">
        <v>2.9917455043342069E-3</v>
      </c>
      <c r="B72">
        <v>1.481728360996619E-3</v>
      </c>
      <c r="C72">
        <v>8.3683446245388059E-4</v>
      </c>
      <c r="D72">
        <v>1.138744038906458E-3</v>
      </c>
      <c r="E72">
        <v>1.8309247689476933E-3</v>
      </c>
      <c r="F72">
        <v>1.6137089907748861E-3</v>
      </c>
      <c r="G72">
        <v>1.435257256436675E-3</v>
      </c>
      <c r="H72">
        <v>1.4599985378640908E-3</v>
      </c>
      <c r="I72">
        <v>2.4661996252569678E-5</v>
      </c>
      <c r="J72">
        <v>-8.1065540415864969E-5</v>
      </c>
    </row>
    <row r="73" spans="1:11" x14ac:dyDescent="0.25">
      <c r="A73">
        <v>1.481728360996619E-3</v>
      </c>
      <c r="B73">
        <v>2.1490336937111105E-3</v>
      </c>
      <c r="C73">
        <v>4.574592810841976E-4</v>
      </c>
      <c r="D73">
        <v>5.5293064833199473E-4</v>
      </c>
      <c r="E73">
        <v>1.2260348529952389E-3</v>
      </c>
      <c r="F73">
        <v>1.1797871270372512E-3</v>
      </c>
      <c r="G73">
        <v>9.4661200426714989E-4</v>
      </c>
      <c r="H73">
        <v>9.8155291129088098E-4</v>
      </c>
      <c r="I73">
        <v>1.6038464320819278E-4</v>
      </c>
      <c r="J73">
        <v>3.9830837071749673E-5</v>
      </c>
    </row>
    <row r="74" spans="1:11" x14ac:dyDescent="0.25">
      <c r="A74">
        <v>8.3683446245388059E-4</v>
      </c>
      <c r="B74">
        <v>4.574592810841976E-4</v>
      </c>
      <c r="C74">
        <v>2.9260379494017237E-3</v>
      </c>
      <c r="D74">
        <v>2.4120493766674171E-4</v>
      </c>
      <c r="E74">
        <v>2.9644745257625119E-4</v>
      </c>
      <c r="F74">
        <v>3.2234920740246845E-4</v>
      </c>
      <c r="G74">
        <v>8.4606471949073744E-5</v>
      </c>
      <c r="H74">
        <v>9.6630052157340297E-5</v>
      </c>
      <c r="I74">
        <v>1.4750576953987454E-4</v>
      </c>
      <c r="J74">
        <v>7.3401245303469226E-4</v>
      </c>
    </row>
    <row r="75" spans="1:11" x14ac:dyDescent="0.25">
      <c r="A75">
        <v>1.138744038906458E-3</v>
      </c>
      <c r="B75">
        <v>5.5293064833199473E-4</v>
      </c>
      <c r="C75">
        <v>2.4120493766674171E-4</v>
      </c>
      <c r="D75">
        <v>1.8840533767698821E-3</v>
      </c>
      <c r="E75">
        <v>9.7415036472248053E-4</v>
      </c>
      <c r="F75">
        <v>8.2027840738461196E-4</v>
      </c>
      <c r="G75">
        <v>8.4705553981923064E-4</v>
      </c>
      <c r="H75">
        <v>8.0085712339361648E-4</v>
      </c>
      <c r="I75">
        <v>1.8228549040217743E-6</v>
      </c>
      <c r="J75">
        <v>8.900335615525984E-5</v>
      </c>
    </row>
    <row r="76" spans="1:11" x14ac:dyDescent="0.25">
      <c r="A76">
        <v>1.8309247689476933E-3</v>
      </c>
      <c r="B76">
        <v>1.2260348529952389E-3</v>
      </c>
      <c r="C76">
        <v>2.9644745257625119E-4</v>
      </c>
      <c r="D76">
        <v>9.7415036472248053E-4</v>
      </c>
      <c r="E76">
        <v>1.8604858906357492E-3</v>
      </c>
      <c r="F76">
        <v>1.6383081924544369E-3</v>
      </c>
      <c r="G76">
        <v>1.374571103760827E-3</v>
      </c>
      <c r="H76">
        <v>1.3920976718231216E-3</v>
      </c>
      <c r="I76">
        <v>-4.8330817321549117E-5</v>
      </c>
      <c r="J76">
        <v>-2.4756246665027463E-4</v>
      </c>
    </row>
    <row r="77" spans="1:11" x14ac:dyDescent="0.25">
      <c r="A77">
        <v>1.6137089907748861E-3</v>
      </c>
      <c r="B77">
        <v>1.1797871270372512E-3</v>
      </c>
      <c r="C77">
        <v>3.2234920740246845E-4</v>
      </c>
      <c r="D77">
        <v>8.2027840738461196E-4</v>
      </c>
      <c r="E77">
        <v>1.6383081924544369E-3</v>
      </c>
      <c r="F77">
        <v>1.6111572637436586E-3</v>
      </c>
      <c r="G77">
        <v>1.2510329055520192E-3</v>
      </c>
      <c r="H77">
        <v>1.3626751996650163E-3</v>
      </c>
      <c r="I77">
        <v>-2.5980402223103408E-5</v>
      </c>
      <c r="J77">
        <v>-2.8936784233807419E-4</v>
      </c>
    </row>
    <row r="78" spans="1:11" x14ac:dyDescent="0.25">
      <c r="A78">
        <v>1.435257256436675E-3</v>
      </c>
      <c r="B78">
        <v>9.4661200426714989E-4</v>
      </c>
      <c r="C78">
        <v>8.4606471949073744E-5</v>
      </c>
      <c r="D78">
        <v>8.4705553981923064E-4</v>
      </c>
      <c r="E78">
        <v>1.374571103760827E-3</v>
      </c>
      <c r="F78">
        <v>1.2510329055520192E-3</v>
      </c>
      <c r="G78">
        <v>1.17296198885492E-3</v>
      </c>
      <c r="H78">
        <v>1.2787853148364761E-3</v>
      </c>
      <c r="I78">
        <v>-3.9043135371372239E-5</v>
      </c>
      <c r="J78">
        <v>-2.8771740300530198E-4</v>
      </c>
    </row>
    <row r="79" spans="1:11" x14ac:dyDescent="0.25">
      <c r="A79">
        <v>1.4599985378640908E-3</v>
      </c>
      <c r="B79">
        <v>9.8155291129088098E-4</v>
      </c>
      <c r="C79">
        <v>9.6630052157340297E-5</v>
      </c>
      <c r="D79">
        <v>8.0085712339361648E-4</v>
      </c>
      <c r="E79">
        <v>1.3920976718231216E-3</v>
      </c>
      <c r="F79">
        <v>1.3626751996650163E-3</v>
      </c>
      <c r="G79">
        <v>1.2787853148364761E-3</v>
      </c>
      <c r="H79">
        <v>1.6950511041445282E-3</v>
      </c>
      <c r="I79">
        <v>-3.3180480735580166E-5</v>
      </c>
      <c r="J79">
        <v>-3.7191328277968354E-4</v>
      </c>
    </row>
    <row r="80" spans="1:11" x14ac:dyDescent="0.25">
      <c r="A80">
        <v>2.4661996252569678E-5</v>
      </c>
      <c r="B80">
        <v>1.6038464320819278E-4</v>
      </c>
      <c r="C80">
        <v>1.4750576953987454E-4</v>
      </c>
      <c r="D80">
        <v>1.8228549040217743E-6</v>
      </c>
      <c r="E80">
        <v>-4.8330817321549117E-5</v>
      </c>
      <c r="F80">
        <v>-2.5980402223103408E-5</v>
      </c>
      <c r="G80">
        <v>-3.9043135371372239E-5</v>
      </c>
      <c r="H80">
        <v>-3.3180480735580166E-5</v>
      </c>
      <c r="I80">
        <v>6.6989647129537055E-5</v>
      </c>
      <c r="J80">
        <v>9.5027336320273494E-5</v>
      </c>
    </row>
    <row r="81" spans="1:10" x14ac:dyDescent="0.25">
      <c r="A81">
        <v>-8.1065540415864969E-5</v>
      </c>
      <c r="B81">
        <v>3.9830837071749673E-5</v>
      </c>
      <c r="C81">
        <v>7.3401245303469226E-4</v>
      </c>
      <c r="D81">
        <v>8.900335615525984E-5</v>
      </c>
      <c r="E81">
        <v>-2.4756246665027463E-4</v>
      </c>
      <c r="F81">
        <v>-2.8936784233807419E-4</v>
      </c>
      <c r="G81">
        <v>-2.8771740300530198E-4</v>
      </c>
      <c r="H81">
        <v>-3.7191328277968354E-4</v>
      </c>
      <c r="I81">
        <v>9.5027336320273494E-5</v>
      </c>
      <c r="J81">
        <v>7.6728698567667401E-4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Securities</vt:lpstr>
      <vt:lpstr>Sharpe</vt:lpstr>
      <vt:lpstr>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Burke</dc:creator>
  <cp:lastModifiedBy>Sean Burke</cp:lastModifiedBy>
  <dcterms:created xsi:type="dcterms:W3CDTF">2016-10-10T15:08:00Z</dcterms:created>
  <dcterms:modified xsi:type="dcterms:W3CDTF">2017-02-27T20:22:05Z</dcterms:modified>
</cp:coreProperties>
</file>